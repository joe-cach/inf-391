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ownloads\"/>
    </mc:Choice>
  </mc:AlternateContent>
  <xr:revisionPtr revIDLastSave="0" documentId="13_ncr:1_{F86301D7-0777-4458-B513-C6044CEE927E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OmniMarket_Pipeline_Continu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5" i="1" l="1"/>
  <c r="G1005" i="1" s="1"/>
  <c r="D1005" i="1"/>
  <c r="E1005" i="1" s="1"/>
  <c r="B1005" i="1"/>
  <c r="C1005" i="1" s="1"/>
  <c r="F1004" i="1"/>
  <c r="G1004" i="1" s="1"/>
  <c r="D1004" i="1"/>
  <c r="E1004" i="1" s="1"/>
  <c r="B1004" i="1"/>
  <c r="C1004" i="1" s="1"/>
  <c r="F1003" i="1"/>
  <c r="G1003" i="1" s="1"/>
  <c r="D1003" i="1"/>
  <c r="E1003" i="1" s="1"/>
  <c r="B1003" i="1"/>
  <c r="C1003" i="1" s="1"/>
  <c r="F1002" i="1"/>
  <c r="G1002" i="1" s="1"/>
  <c r="D1002" i="1"/>
  <c r="E1002" i="1" s="1"/>
  <c r="B1002" i="1"/>
  <c r="C1002" i="1" s="1"/>
  <c r="F1001" i="1"/>
  <c r="G1001" i="1" s="1"/>
  <c r="D1001" i="1"/>
  <c r="E1001" i="1" s="1"/>
  <c r="B1001" i="1"/>
  <c r="C1001" i="1" s="1"/>
  <c r="F1000" i="1"/>
  <c r="G1000" i="1" s="1"/>
  <c r="D1000" i="1"/>
  <c r="E1000" i="1" s="1"/>
  <c r="B1000" i="1"/>
  <c r="C1000" i="1" s="1"/>
  <c r="F999" i="1"/>
  <c r="G999" i="1" s="1"/>
  <c r="D999" i="1"/>
  <c r="E999" i="1" s="1"/>
  <c r="B999" i="1"/>
  <c r="C999" i="1" s="1"/>
  <c r="F998" i="1"/>
  <c r="G998" i="1" s="1"/>
  <c r="D998" i="1"/>
  <c r="E998" i="1" s="1"/>
  <c r="B998" i="1"/>
  <c r="C998" i="1" s="1"/>
  <c r="F997" i="1"/>
  <c r="G997" i="1" s="1"/>
  <c r="D997" i="1"/>
  <c r="E997" i="1" s="1"/>
  <c r="B997" i="1"/>
  <c r="C997" i="1" s="1"/>
  <c r="F996" i="1"/>
  <c r="G996" i="1" s="1"/>
  <c r="D996" i="1"/>
  <c r="E996" i="1" s="1"/>
  <c r="B996" i="1"/>
  <c r="C996" i="1" s="1"/>
  <c r="F995" i="1"/>
  <c r="G995" i="1" s="1"/>
  <c r="D995" i="1"/>
  <c r="E995" i="1" s="1"/>
  <c r="B995" i="1"/>
  <c r="C995" i="1" s="1"/>
  <c r="F994" i="1"/>
  <c r="G994" i="1" s="1"/>
  <c r="D994" i="1"/>
  <c r="E994" i="1" s="1"/>
  <c r="B994" i="1"/>
  <c r="C994" i="1" s="1"/>
  <c r="F993" i="1"/>
  <c r="G993" i="1" s="1"/>
  <c r="D993" i="1"/>
  <c r="E993" i="1" s="1"/>
  <c r="B993" i="1"/>
  <c r="C993" i="1" s="1"/>
  <c r="F992" i="1"/>
  <c r="G992" i="1" s="1"/>
  <c r="D992" i="1"/>
  <c r="E992" i="1" s="1"/>
  <c r="B992" i="1"/>
  <c r="C992" i="1" s="1"/>
  <c r="F991" i="1"/>
  <c r="G991" i="1" s="1"/>
  <c r="D991" i="1"/>
  <c r="E991" i="1" s="1"/>
  <c r="B991" i="1"/>
  <c r="C991" i="1" s="1"/>
  <c r="F990" i="1"/>
  <c r="G990" i="1" s="1"/>
  <c r="D990" i="1"/>
  <c r="E990" i="1" s="1"/>
  <c r="B990" i="1"/>
  <c r="C990" i="1" s="1"/>
  <c r="F989" i="1"/>
  <c r="G989" i="1" s="1"/>
  <c r="D989" i="1"/>
  <c r="E989" i="1" s="1"/>
  <c r="B989" i="1"/>
  <c r="C989" i="1" s="1"/>
  <c r="F988" i="1"/>
  <c r="G988" i="1" s="1"/>
  <c r="D988" i="1"/>
  <c r="E988" i="1" s="1"/>
  <c r="B988" i="1"/>
  <c r="C988" i="1" s="1"/>
  <c r="F987" i="1"/>
  <c r="G987" i="1" s="1"/>
  <c r="D987" i="1"/>
  <c r="E987" i="1" s="1"/>
  <c r="B987" i="1"/>
  <c r="C987" i="1" s="1"/>
  <c r="F986" i="1"/>
  <c r="G986" i="1" s="1"/>
  <c r="D986" i="1"/>
  <c r="E986" i="1" s="1"/>
  <c r="B986" i="1"/>
  <c r="C986" i="1" s="1"/>
  <c r="F985" i="1"/>
  <c r="G985" i="1" s="1"/>
  <c r="D985" i="1"/>
  <c r="E985" i="1" s="1"/>
  <c r="B985" i="1"/>
  <c r="C985" i="1" s="1"/>
  <c r="F984" i="1"/>
  <c r="G984" i="1" s="1"/>
  <c r="D984" i="1"/>
  <c r="E984" i="1" s="1"/>
  <c r="B984" i="1"/>
  <c r="C984" i="1" s="1"/>
  <c r="F983" i="1"/>
  <c r="G983" i="1" s="1"/>
  <c r="D983" i="1"/>
  <c r="E983" i="1" s="1"/>
  <c r="B983" i="1"/>
  <c r="C983" i="1" s="1"/>
  <c r="F982" i="1"/>
  <c r="G982" i="1" s="1"/>
  <c r="D982" i="1"/>
  <c r="E982" i="1" s="1"/>
  <c r="B982" i="1"/>
  <c r="C982" i="1" s="1"/>
  <c r="F981" i="1"/>
  <c r="G981" i="1" s="1"/>
  <c r="D981" i="1"/>
  <c r="E981" i="1" s="1"/>
  <c r="B981" i="1"/>
  <c r="C981" i="1" s="1"/>
  <c r="F980" i="1"/>
  <c r="G980" i="1" s="1"/>
  <c r="D980" i="1"/>
  <c r="E980" i="1" s="1"/>
  <c r="B980" i="1"/>
  <c r="C980" i="1" s="1"/>
  <c r="F979" i="1"/>
  <c r="G979" i="1" s="1"/>
  <c r="D979" i="1"/>
  <c r="E979" i="1" s="1"/>
  <c r="B979" i="1"/>
  <c r="C979" i="1" s="1"/>
  <c r="F978" i="1"/>
  <c r="G978" i="1" s="1"/>
  <c r="D978" i="1"/>
  <c r="E978" i="1" s="1"/>
  <c r="B978" i="1"/>
  <c r="C978" i="1" s="1"/>
  <c r="F977" i="1"/>
  <c r="G977" i="1" s="1"/>
  <c r="D977" i="1"/>
  <c r="E977" i="1" s="1"/>
  <c r="B977" i="1"/>
  <c r="C977" i="1" s="1"/>
  <c r="F976" i="1"/>
  <c r="G976" i="1" s="1"/>
  <c r="D976" i="1"/>
  <c r="E976" i="1" s="1"/>
  <c r="B976" i="1"/>
  <c r="C976" i="1" s="1"/>
  <c r="F975" i="1"/>
  <c r="G975" i="1" s="1"/>
  <c r="D975" i="1"/>
  <c r="E975" i="1" s="1"/>
  <c r="B975" i="1"/>
  <c r="C975" i="1" s="1"/>
  <c r="F974" i="1"/>
  <c r="G974" i="1" s="1"/>
  <c r="D974" i="1"/>
  <c r="E974" i="1" s="1"/>
  <c r="B974" i="1"/>
  <c r="C974" i="1" s="1"/>
  <c r="F973" i="1"/>
  <c r="G973" i="1" s="1"/>
  <c r="D973" i="1"/>
  <c r="E973" i="1" s="1"/>
  <c r="B973" i="1"/>
  <c r="C973" i="1" s="1"/>
  <c r="F972" i="1"/>
  <c r="G972" i="1" s="1"/>
  <c r="D972" i="1"/>
  <c r="E972" i="1" s="1"/>
  <c r="B972" i="1"/>
  <c r="C972" i="1" s="1"/>
  <c r="F971" i="1"/>
  <c r="G971" i="1" s="1"/>
  <c r="D971" i="1"/>
  <c r="E971" i="1" s="1"/>
  <c r="B971" i="1"/>
  <c r="C971" i="1" s="1"/>
  <c r="F970" i="1"/>
  <c r="G970" i="1" s="1"/>
  <c r="D970" i="1"/>
  <c r="E970" i="1" s="1"/>
  <c r="B970" i="1"/>
  <c r="C970" i="1" s="1"/>
  <c r="F969" i="1"/>
  <c r="G969" i="1" s="1"/>
  <c r="D969" i="1"/>
  <c r="E969" i="1" s="1"/>
  <c r="B969" i="1"/>
  <c r="C969" i="1" s="1"/>
  <c r="F968" i="1"/>
  <c r="G968" i="1" s="1"/>
  <c r="D968" i="1"/>
  <c r="E968" i="1" s="1"/>
  <c r="B968" i="1"/>
  <c r="C968" i="1" s="1"/>
  <c r="F967" i="1"/>
  <c r="G967" i="1" s="1"/>
  <c r="D967" i="1"/>
  <c r="E967" i="1" s="1"/>
  <c r="B967" i="1"/>
  <c r="C967" i="1" s="1"/>
  <c r="F966" i="1"/>
  <c r="G966" i="1" s="1"/>
  <c r="D966" i="1"/>
  <c r="E966" i="1" s="1"/>
  <c r="B966" i="1"/>
  <c r="C966" i="1" s="1"/>
  <c r="F965" i="1"/>
  <c r="G965" i="1" s="1"/>
  <c r="D965" i="1"/>
  <c r="E965" i="1" s="1"/>
  <c r="B965" i="1"/>
  <c r="C965" i="1" s="1"/>
  <c r="F964" i="1"/>
  <c r="G964" i="1" s="1"/>
  <c r="D964" i="1"/>
  <c r="E964" i="1" s="1"/>
  <c r="B964" i="1"/>
  <c r="C964" i="1" s="1"/>
  <c r="F963" i="1"/>
  <c r="G963" i="1" s="1"/>
  <c r="D963" i="1"/>
  <c r="E963" i="1" s="1"/>
  <c r="B963" i="1"/>
  <c r="C963" i="1" s="1"/>
  <c r="F962" i="1"/>
  <c r="G962" i="1" s="1"/>
  <c r="D962" i="1"/>
  <c r="E962" i="1" s="1"/>
  <c r="B962" i="1"/>
  <c r="C962" i="1" s="1"/>
  <c r="F961" i="1"/>
  <c r="G961" i="1" s="1"/>
  <c r="D961" i="1"/>
  <c r="E961" i="1" s="1"/>
  <c r="B961" i="1"/>
  <c r="C961" i="1" s="1"/>
  <c r="F960" i="1"/>
  <c r="G960" i="1" s="1"/>
  <c r="D960" i="1"/>
  <c r="E960" i="1" s="1"/>
  <c r="B960" i="1"/>
  <c r="C960" i="1" s="1"/>
  <c r="F959" i="1"/>
  <c r="G959" i="1" s="1"/>
  <c r="D959" i="1"/>
  <c r="E959" i="1" s="1"/>
  <c r="B959" i="1"/>
  <c r="C959" i="1" s="1"/>
  <c r="F958" i="1"/>
  <c r="G958" i="1" s="1"/>
  <c r="D958" i="1"/>
  <c r="E958" i="1" s="1"/>
  <c r="B958" i="1"/>
  <c r="C958" i="1" s="1"/>
  <c r="F957" i="1"/>
  <c r="G957" i="1" s="1"/>
  <c r="D957" i="1"/>
  <c r="E957" i="1" s="1"/>
  <c r="B957" i="1"/>
  <c r="C957" i="1" s="1"/>
  <c r="F956" i="1"/>
  <c r="G956" i="1" s="1"/>
  <c r="D956" i="1"/>
  <c r="E956" i="1" s="1"/>
  <c r="B956" i="1"/>
  <c r="C956" i="1" s="1"/>
  <c r="F955" i="1"/>
  <c r="G955" i="1" s="1"/>
  <c r="D955" i="1"/>
  <c r="E955" i="1" s="1"/>
  <c r="B955" i="1"/>
  <c r="C955" i="1" s="1"/>
  <c r="F954" i="1"/>
  <c r="G954" i="1" s="1"/>
  <c r="D954" i="1"/>
  <c r="E954" i="1" s="1"/>
  <c r="B954" i="1"/>
  <c r="C954" i="1" s="1"/>
  <c r="F953" i="1"/>
  <c r="G953" i="1" s="1"/>
  <c r="D953" i="1"/>
  <c r="E953" i="1" s="1"/>
  <c r="B953" i="1"/>
  <c r="C953" i="1" s="1"/>
  <c r="F952" i="1"/>
  <c r="G952" i="1" s="1"/>
  <c r="D952" i="1"/>
  <c r="E952" i="1" s="1"/>
  <c r="B952" i="1"/>
  <c r="C952" i="1" s="1"/>
  <c r="F951" i="1"/>
  <c r="G951" i="1" s="1"/>
  <c r="D951" i="1"/>
  <c r="E951" i="1" s="1"/>
  <c r="B951" i="1"/>
  <c r="C951" i="1" s="1"/>
  <c r="F950" i="1"/>
  <c r="G950" i="1" s="1"/>
  <c r="D950" i="1"/>
  <c r="E950" i="1" s="1"/>
  <c r="B950" i="1"/>
  <c r="C950" i="1" s="1"/>
  <c r="F949" i="1"/>
  <c r="G949" i="1" s="1"/>
  <c r="D949" i="1"/>
  <c r="E949" i="1" s="1"/>
  <c r="B949" i="1"/>
  <c r="C949" i="1" s="1"/>
  <c r="F948" i="1"/>
  <c r="G948" i="1" s="1"/>
  <c r="D948" i="1"/>
  <c r="E948" i="1" s="1"/>
  <c r="B948" i="1"/>
  <c r="C948" i="1" s="1"/>
  <c r="F947" i="1"/>
  <c r="G947" i="1" s="1"/>
  <c r="D947" i="1"/>
  <c r="E947" i="1" s="1"/>
  <c r="B947" i="1"/>
  <c r="C947" i="1" s="1"/>
  <c r="F946" i="1"/>
  <c r="G946" i="1" s="1"/>
  <c r="D946" i="1"/>
  <c r="E946" i="1" s="1"/>
  <c r="B946" i="1"/>
  <c r="C946" i="1" s="1"/>
  <c r="F945" i="1"/>
  <c r="G945" i="1" s="1"/>
  <c r="D945" i="1"/>
  <c r="E945" i="1" s="1"/>
  <c r="B945" i="1"/>
  <c r="C945" i="1" s="1"/>
  <c r="F944" i="1"/>
  <c r="G944" i="1" s="1"/>
  <c r="D944" i="1"/>
  <c r="E944" i="1" s="1"/>
  <c r="B944" i="1"/>
  <c r="C944" i="1" s="1"/>
  <c r="F943" i="1"/>
  <c r="G943" i="1" s="1"/>
  <c r="D943" i="1"/>
  <c r="E943" i="1" s="1"/>
  <c r="B943" i="1"/>
  <c r="C943" i="1" s="1"/>
  <c r="F942" i="1"/>
  <c r="G942" i="1" s="1"/>
  <c r="D942" i="1"/>
  <c r="E942" i="1" s="1"/>
  <c r="B942" i="1"/>
  <c r="C942" i="1" s="1"/>
  <c r="F941" i="1"/>
  <c r="G941" i="1" s="1"/>
  <c r="D941" i="1"/>
  <c r="E941" i="1" s="1"/>
  <c r="B941" i="1"/>
  <c r="C941" i="1" s="1"/>
  <c r="F940" i="1"/>
  <c r="G940" i="1" s="1"/>
  <c r="D940" i="1"/>
  <c r="E940" i="1" s="1"/>
  <c r="B940" i="1"/>
  <c r="C940" i="1" s="1"/>
  <c r="F939" i="1"/>
  <c r="G939" i="1" s="1"/>
  <c r="D939" i="1"/>
  <c r="E939" i="1" s="1"/>
  <c r="B939" i="1"/>
  <c r="C939" i="1" s="1"/>
  <c r="F938" i="1"/>
  <c r="G938" i="1" s="1"/>
  <c r="D938" i="1"/>
  <c r="E938" i="1" s="1"/>
  <c r="B938" i="1"/>
  <c r="C938" i="1" s="1"/>
  <c r="F937" i="1"/>
  <c r="G937" i="1" s="1"/>
  <c r="D937" i="1"/>
  <c r="E937" i="1" s="1"/>
  <c r="B937" i="1"/>
  <c r="C937" i="1" s="1"/>
  <c r="F936" i="1"/>
  <c r="G936" i="1" s="1"/>
  <c r="D936" i="1"/>
  <c r="E936" i="1" s="1"/>
  <c r="B936" i="1"/>
  <c r="C936" i="1" s="1"/>
  <c r="F935" i="1"/>
  <c r="G935" i="1" s="1"/>
  <c r="D935" i="1"/>
  <c r="E935" i="1" s="1"/>
  <c r="B935" i="1"/>
  <c r="C935" i="1" s="1"/>
  <c r="F934" i="1"/>
  <c r="G934" i="1" s="1"/>
  <c r="D934" i="1"/>
  <c r="E934" i="1" s="1"/>
  <c r="B934" i="1"/>
  <c r="C934" i="1" s="1"/>
  <c r="F933" i="1"/>
  <c r="G933" i="1" s="1"/>
  <c r="D933" i="1"/>
  <c r="E933" i="1" s="1"/>
  <c r="B933" i="1"/>
  <c r="C933" i="1" s="1"/>
  <c r="F932" i="1"/>
  <c r="G932" i="1" s="1"/>
  <c r="D932" i="1"/>
  <c r="E932" i="1" s="1"/>
  <c r="B932" i="1"/>
  <c r="C932" i="1" s="1"/>
  <c r="F931" i="1"/>
  <c r="G931" i="1" s="1"/>
  <c r="D931" i="1"/>
  <c r="E931" i="1" s="1"/>
  <c r="B931" i="1"/>
  <c r="C931" i="1" s="1"/>
  <c r="F930" i="1"/>
  <c r="G930" i="1" s="1"/>
  <c r="D930" i="1"/>
  <c r="E930" i="1" s="1"/>
  <c r="B930" i="1"/>
  <c r="C930" i="1" s="1"/>
  <c r="F929" i="1"/>
  <c r="G929" i="1" s="1"/>
  <c r="D929" i="1"/>
  <c r="E929" i="1" s="1"/>
  <c r="B929" i="1"/>
  <c r="C929" i="1" s="1"/>
  <c r="F928" i="1"/>
  <c r="G928" i="1" s="1"/>
  <c r="D928" i="1"/>
  <c r="E928" i="1" s="1"/>
  <c r="B928" i="1"/>
  <c r="C928" i="1" s="1"/>
  <c r="F927" i="1"/>
  <c r="G927" i="1" s="1"/>
  <c r="D927" i="1"/>
  <c r="E927" i="1" s="1"/>
  <c r="B927" i="1"/>
  <c r="C927" i="1" s="1"/>
  <c r="F926" i="1"/>
  <c r="G926" i="1" s="1"/>
  <c r="D926" i="1"/>
  <c r="E926" i="1" s="1"/>
  <c r="B926" i="1"/>
  <c r="C926" i="1" s="1"/>
  <c r="F925" i="1"/>
  <c r="G925" i="1" s="1"/>
  <c r="D925" i="1"/>
  <c r="E925" i="1" s="1"/>
  <c r="B925" i="1"/>
  <c r="C925" i="1" s="1"/>
  <c r="F924" i="1"/>
  <c r="G924" i="1" s="1"/>
  <c r="D924" i="1"/>
  <c r="E924" i="1" s="1"/>
  <c r="B924" i="1"/>
  <c r="C924" i="1" s="1"/>
  <c r="F923" i="1"/>
  <c r="G923" i="1" s="1"/>
  <c r="D923" i="1"/>
  <c r="E923" i="1" s="1"/>
  <c r="B923" i="1"/>
  <c r="C923" i="1" s="1"/>
  <c r="F922" i="1"/>
  <c r="G922" i="1" s="1"/>
  <c r="D922" i="1"/>
  <c r="E922" i="1" s="1"/>
  <c r="B922" i="1"/>
  <c r="C922" i="1" s="1"/>
  <c r="F921" i="1"/>
  <c r="G921" i="1" s="1"/>
  <c r="D921" i="1"/>
  <c r="E921" i="1" s="1"/>
  <c r="B921" i="1"/>
  <c r="C921" i="1" s="1"/>
  <c r="F920" i="1"/>
  <c r="G920" i="1" s="1"/>
  <c r="D920" i="1"/>
  <c r="E920" i="1" s="1"/>
  <c r="B920" i="1"/>
  <c r="C920" i="1" s="1"/>
  <c r="F919" i="1"/>
  <c r="G919" i="1" s="1"/>
  <c r="D919" i="1"/>
  <c r="E919" i="1" s="1"/>
  <c r="B919" i="1"/>
  <c r="C919" i="1" s="1"/>
  <c r="F918" i="1"/>
  <c r="G918" i="1" s="1"/>
  <c r="D918" i="1"/>
  <c r="E918" i="1" s="1"/>
  <c r="B918" i="1"/>
  <c r="C918" i="1" s="1"/>
  <c r="F917" i="1"/>
  <c r="G917" i="1" s="1"/>
  <c r="D917" i="1"/>
  <c r="E917" i="1" s="1"/>
  <c r="B917" i="1"/>
  <c r="C917" i="1" s="1"/>
  <c r="F916" i="1"/>
  <c r="G916" i="1" s="1"/>
  <c r="D916" i="1"/>
  <c r="E916" i="1" s="1"/>
  <c r="B916" i="1"/>
  <c r="C916" i="1" s="1"/>
  <c r="F915" i="1"/>
  <c r="G915" i="1" s="1"/>
  <c r="D915" i="1"/>
  <c r="E915" i="1" s="1"/>
  <c r="B915" i="1"/>
  <c r="C915" i="1" s="1"/>
  <c r="F914" i="1"/>
  <c r="G914" i="1" s="1"/>
  <c r="D914" i="1"/>
  <c r="E914" i="1" s="1"/>
  <c r="B914" i="1"/>
  <c r="C914" i="1" s="1"/>
  <c r="F913" i="1"/>
  <c r="G913" i="1" s="1"/>
  <c r="D913" i="1"/>
  <c r="E913" i="1" s="1"/>
  <c r="B913" i="1"/>
  <c r="C913" i="1" s="1"/>
  <c r="F912" i="1"/>
  <c r="G912" i="1" s="1"/>
  <c r="D912" i="1"/>
  <c r="E912" i="1" s="1"/>
  <c r="B912" i="1"/>
  <c r="C912" i="1" s="1"/>
  <c r="F911" i="1"/>
  <c r="G911" i="1" s="1"/>
  <c r="D911" i="1"/>
  <c r="E911" i="1" s="1"/>
  <c r="B911" i="1"/>
  <c r="C911" i="1" s="1"/>
  <c r="F910" i="1"/>
  <c r="G910" i="1" s="1"/>
  <c r="D910" i="1"/>
  <c r="E910" i="1" s="1"/>
  <c r="B910" i="1"/>
  <c r="C910" i="1" s="1"/>
  <c r="F909" i="1"/>
  <c r="G909" i="1" s="1"/>
  <c r="D909" i="1"/>
  <c r="E909" i="1" s="1"/>
  <c r="B909" i="1"/>
  <c r="C909" i="1" s="1"/>
  <c r="F908" i="1"/>
  <c r="G908" i="1" s="1"/>
  <c r="D908" i="1"/>
  <c r="E908" i="1" s="1"/>
  <c r="B908" i="1"/>
  <c r="C908" i="1" s="1"/>
  <c r="F907" i="1"/>
  <c r="G907" i="1" s="1"/>
  <c r="D907" i="1"/>
  <c r="E907" i="1" s="1"/>
  <c r="B907" i="1"/>
  <c r="C907" i="1" s="1"/>
  <c r="F906" i="1"/>
  <c r="G906" i="1" s="1"/>
  <c r="D906" i="1"/>
  <c r="E906" i="1" s="1"/>
  <c r="B906" i="1"/>
  <c r="C906" i="1" s="1"/>
  <c r="F905" i="1"/>
  <c r="G905" i="1" s="1"/>
  <c r="D905" i="1"/>
  <c r="E905" i="1" s="1"/>
  <c r="B905" i="1"/>
  <c r="C905" i="1" s="1"/>
  <c r="F904" i="1"/>
  <c r="G904" i="1" s="1"/>
  <c r="D904" i="1"/>
  <c r="E904" i="1" s="1"/>
  <c r="B904" i="1"/>
  <c r="C904" i="1" s="1"/>
  <c r="F903" i="1"/>
  <c r="G903" i="1" s="1"/>
  <c r="D903" i="1"/>
  <c r="E903" i="1" s="1"/>
  <c r="B903" i="1"/>
  <c r="C903" i="1" s="1"/>
  <c r="F902" i="1"/>
  <c r="G902" i="1" s="1"/>
  <c r="D902" i="1"/>
  <c r="E902" i="1" s="1"/>
  <c r="B902" i="1"/>
  <c r="C902" i="1" s="1"/>
  <c r="F901" i="1"/>
  <c r="G901" i="1" s="1"/>
  <c r="D901" i="1"/>
  <c r="E901" i="1" s="1"/>
  <c r="B901" i="1"/>
  <c r="C901" i="1" s="1"/>
  <c r="F900" i="1"/>
  <c r="G900" i="1" s="1"/>
  <c r="D900" i="1"/>
  <c r="E900" i="1" s="1"/>
  <c r="B900" i="1"/>
  <c r="C900" i="1" s="1"/>
  <c r="F899" i="1"/>
  <c r="G899" i="1" s="1"/>
  <c r="D899" i="1"/>
  <c r="E899" i="1" s="1"/>
  <c r="B899" i="1"/>
  <c r="C899" i="1" s="1"/>
  <c r="F898" i="1"/>
  <c r="G898" i="1" s="1"/>
  <c r="D898" i="1"/>
  <c r="E898" i="1" s="1"/>
  <c r="B898" i="1"/>
  <c r="C898" i="1" s="1"/>
  <c r="F897" i="1"/>
  <c r="G897" i="1" s="1"/>
  <c r="D897" i="1"/>
  <c r="E897" i="1" s="1"/>
  <c r="B897" i="1"/>
  <c r="C897" i="1" s="1"/>
  <c r="F896" i="1"/>
  <c r="G896" i="1" s="1"/>
  <c r="D896" i="1"/>
  <c r="E896" i="1" s="1"/>
  <c r="B896" i="1"/>
  <c r="C896" i="1" s="1"/>
  <c r="F895" i="1"/>
  <c r="G895" i="1" s="1"/>
  <c r="D895" i="1"/>
  <c r="E895" i="1" s="1"/>
  <c r="B895" i="1"/>
  <c r="C895" i="1" s="1"/>
  <c r="F894" i="1"/>
  <c r="G894" i="1" s="1"/>
  <c r="D894" i="1"/>
  <c r="E894" i="1" s="1"/>
  <c r="B894" i="1"/>
  <c r="C894" i="1" s="1"/>
  <c r="F893" i="1"/>
  <c r="G893" i="1" s="1"/>
  <c r="D893" i="1"/>
  <c r="E893" i="1" s="1"/>
  <c r="B893" i="1"/>
  <c r="C893" i="1" s="1"/>
  <c r="F892" i="1"/>
  <c r="G892" i="1" s="1"/>
  <c r="D892" i="1"/>
  <c r="E892" i="1" s="1"/>
  <c r="B892" i="1"/>
  <c r="C892" i="1" s="1"/>
  <c r="F891" i="1"/>
  <c r="G891" i="1" s="1"/>
  <c r="D891" i="1"/>
  <c r="E891" i="1" s="1"/>
  <c r="B891" i="1"/>
  <c r="C891" i="1" s="1"/>
  <c r="F890" i="1"/>
  <c r="G890" i="1" s="1"/>
  <c r="D890" i="1"/>
  <c r="E890" i="1" s="1"/>
  <c r="B890" i="1"/>
  <c r="C890" i="1" s="1"/>
  <c r="F889" i="1"/>
  <c r="G889" i="1" s="1"/>
  <c r="D889" i="1"/>
  <c r="E889" i="1" s="1"/>
  <c r="B889" i="1"/>
  <c r="C889" i="1" s="1"/>
  <c r="F888" i="1"/>
  <c r="G888" i="1" s="1"/>
  <c r="D888" i="1"/>
  <c r="E888" i="1" s="1"/>
  <c r="B888" i="1"/>
  <c r="C888" i="1" s="1"/>
  <c r="F887" i="1"/>
  <c r="G887" i="1" s="1"/>
  <c r="D887" i="1"/>
  <c r="E887" i="1" s="1"/>
  <c r="B887" i="1"/>
  <c r="C887" i="1" s="1"/>
  <c r="F886" i="1"/>
  <c r="G886" i="1" s="1"/>
  <c r="D886" i="1"/>
  <c r="E886" i="1" s="1"/>
  <c r="B886" i="1"/>
  <c r="C886" i="1" s="1"/>
  <c r="F885" i="1"/>
  <c r="G885" i="1" s="1"/>
  <c r="D885" i="1"/>
  <c r="E885" i="1" s="1"/>
  <c r="B885" i="1"/>
  <c r="C885" i="1" s="1"/>
  <c r="F884" i="1"/>
  <c r="G884" i="1" s="1"/>
  <c r="D884" i="1"/>
  <c r="E884" i="1" s="1"/>
  <c r="B884" i="1"/>
  <c r="C884" i="1" s="1"/>
  <c r="F883" i="1"/>
  <c r="G883" i="1" s="1"/>
  <c r="D883" i="1"/>
  <c r="E883" i="1" s="1"/>
  <c r="B883" i="1"/>
  <c r="C883" i="1" s="1"/>
  <c r="F882" i="1"/>
  <c r="G882" i="1" s="1"/>
  <c r="D882" i="1"/>
  <c r="E882" i="1" s="1"/>
  <c r="B882" i="1"/>
  <c r="C882" i="1" s="1"/>
  <c r="F881" i="1"/>
  <c r="G881" i="1" s="1"/>
  <c r="D881" i="1"/>
  <c r="E881" i="1" s="1"/>
  <c r="B881" i="1"/>
  <c r="C881" i="1" s="1"/>
  <c r="F880" i="1"/>
  <c r="G880" i="1" s="1"/>
  <c r="D880" i="1"/>
  <c r="E880" i="1" s="1"/>
  <c r="B880" i="1"/>
  <c r="C880" i="1" s="1"/>
  <c r="F879" i="1"/>
  <c r="G879" i="1" s="1"/>
  <c r="D879" i="1"/>
  <c r="E879" i="1" s="1"/>
  <c r="B879" i="1"/>
  <c r="C879" i="1" s="1"/>
  <c r="F878" i="1"/>
  <c r="G878" i="1" s="1"/>
  <c r="D878" i="1"/>
  <c r="E878" i="1" s="1"/>
  <c r="B878" i="1"/>
  <c r="C878" i="1" s="1"/>
  <c r="F877" i="1"/>
  <c r="G877" i="1" s="1"/>
  <c r="D877" i="1"/>
  <c r="E877" i="1" s="1"/>
  <c r="B877" i="1"/>
  <c r="C877" i="1" s="1"/>
  <c r="F876" i="1"/>
  <c r="G876" i="1" s="1"/>
  <c r="D876" i="1"/>
  <c r="E876" i="1" s="1"/>
  <c r="B876" i="1"/>
  <c r="C876" i="1" s="1"/>
  <c r="F875" i="1"/>
  <c r="G875" i="1" s="1"/>
  <c r="D875" i="1"/>
  <c r="E875" i="1" s="1"/>
  <c r="B875" i="1"/>
  <c r="C875" i="1" s="1"/>
  <c r="F874" i="1"/>
  <c r="G874" i="1" s="1"/>
  <c r="D874" i="1"/>
  <c r="E874" i="1" s="1"/>
  <c r="B874" i="1"/>
  <c r="C874" i="1" s="1"/>
  <c r="F873" i="1"/>
  <c r="G873" i="1" s="1"/>
  <c r="D873" i="1"/>
  <c r="E873" i="1" s="1"/>
  <c r="B873" i="1"/>
  <c r="C873" i="1" s="1"/>
  <c r="F872" i="1"/>
  <c r="G872" i="1" s="1"/>
  <c r="D872" i="1"/>
  <c r="E872" i="1" s="1"/>
  <c r="B872" i="1"/>
  <c r="C872" i="1" s="1"/>
  <c r="F871" i="1"/>
  <c r="G871" i="1" s="1"/>
  <c r="D871" i="1"/>
  <c r="E871" i="1" s="1"/>
  <c r="B871" i="1"/>
  <c r="C871" i="1" s="1"/>
  <c r="F870" i="1"/>
  <c r="G870" i="1" s="1"/>
  <c r="D870" i="1"/>
  <c r="E870" i="1" s="1"/>
  <c r="B870" i="1"/>
  <c r="C870" i="1" s="1"/>
  <c r="F869" i="1"/>
  <c r="G869" i="1" s="1"/>
  <c r="D869" i="1"/>
  <c r="E869" i="1" s="1"/>
  <c r="B869" i="1"/>
  <c r="C869" i="1" s="1"/>
  <c r="F868" i="1"/>
  <c r="G868" i="1" s="1"/>
  <c r="D868" i="1"/>
  <c r="E868" i="1" s="1"/>
  <c r="B868" i="1"/>
  <c r="C868" i="1" s="1"/>
  <c r="F867" i="1"/>
  <c r="G867" i="1" s="1"/>
  <c r="D867" i="1"/>
  <c r="E867" i="1" s="1"/>
  <c r="B867" i="1"/>
  <c r="C867" i="1" s="1"/>
  <c r="F866" i="1"/>
  <c r="G866" i="1" s="1"/>
  <c r="D866" i="1"/>
  <c r="E866" i="1" s="1"/>
  <c r="B866" i="1"/>
  <c r="C866" i="1" s="1"/>
  <c r="F865" i="1"/>
  <c r="G865" i="1" s="1"/>
  <c r="D865" i="1"/>
  <c r="E865" i="1" s="1"/>
  <c r="B865" i="1"/>
  <c r="C865" i="1" s="1"/>
  <c r="F864" i="1"/>
  <c r="G864" i="1" s="1"/>
  <c r="D864" i="1"/>
  <c r="E864" i="1" s="1"/>
  <c r="B864" i="1"/>
  <c r="C864" i="1" s="1"/>
  <c r="F863" i="1"/>
  <c r="G863" i="1" s="1"/>
  <c r="D863" i="1"/>
  <c r="E863" i="1" s="1"/>
  <c r="B863" i="1"/>
  <c r="C863" i="1" s="1"/>
  <c r="F862" i="1"/>
  <c r="G862" i="1" s="1"/>
  <c r="D862" i="1"/>
  <c r="E862" i="1" s="1"/>
  <c r="B862" i="1"/>
  <c r="C862" i="1" s="1"/>
  <c r="F861" i="1"/>
  <c r="G861" i="1" s="1"/>
  <c r="D861" i="1"/>
  <c r="E861" i="1" s="1"/>
  <c r="B861" i="1"/>
  <c r="C861" i="1" s="1"/>
  <c r="F860" i="1"/>
  <c r="G860" i="1" s="1"/>
  <c r="D860" i="1"/>
  <c r="E860" i="1" s="1"/>
  <c r="B860" i="1"/>
  <c r="C860" i="1" s="1"/>
  <c r="F859" i="1"/>
  <c r="G859" i="1" s="1"/>
  <c r="D859" i="1"/>
  <c r="E859" i="1" s="1"/>
  <c r="B859" i="1"/>
  <c r="C859" i="1" s="1"/>
  <c r="F858" i="1"/>
  <c r="G858" i="1" s="1"/>
  <c r="D858" i="1"/>
  <c r="E858" i="1" s="1"/>
  <c r="B858" i="1"/>
  <c r="C858" i="1" s="1"/>
  <c r="F857" i="1"/>
  <c r="G857" i="1" s="1"/>
  <c r="D857" i="1"/>
  <c r="E857" i="1" s="1"/>
  <c r="B857" i="1"/>
  <c r="C857" i="1" s="1"/>
  <c r="F856" i="1"/>
  <c r="G856" i="1" s="1"/>
  <c r="D856" i="1"/>
  <c r="E856" i="1" s="1"/>
  <c r="B856" i="1"/>
  <c r="C856" i="1" s="1"/>
  <c r="F855" i="1"/>
  <c r="G855" i="1" s="1"/>
  <c r="D855" i="1"/>
  <c r="E855" i="1" s="1"/>
  <c r="B855" i="1"/>
  <c r="C855" i="1" s="1"/>
  <c r="F854" i="1"/>
  <c r="G854" i="1" s="1"/>
  <c r="D854" i="1"/>
  <c r="E854" i="1" s="1"/>
  <c r="B854" i="1"/>
  <c r="C854" i="1" s="1"/>
  <c r="F853" i="1"/>
  <c r="G853" i="1" s="1"/>
  <c r="D853" i="1"/>
  <c r="E853" i="1" s="1"/>
  <c r="B853" i="1"/>
  <c r="C853" i="1" s="1"/>
  <c r="F852" i="1"/>
  <c r="G852" i="1" s="1"/>
  <c r="D852" i="1"/>
  <c r="E852" i="1" s="1"/>
  <c r="B852" i="1"/>
  <c r="C852" i="1" s="1"/>
  <c r="F851" i="1"/>
  <c r="G851" i="1" s="1"/>
  <c r="D851" i="1"/>
  <c r="E851" i="1" s="1"/>
  <c r="B851" i="1"/>
  <c r="C851" i="1" s="1"/>
  <c r="F850" i="1"/>
  <c r="G850" i="1" s="1"/>
  <c r="D850" i="1"/>
  <c r="E850" i="1" s="1"/>
  <c r="B850" i="1"/>
  <c r="C850" i="1" s="1"/>
  <c r="F849" i="1"/>
  <c r="G849" i="1" s="1"/>
  <c r="D849" i="1"/>
  <c r="E849" i="1" s="1"/>
  <c r="B849" i="1"/>
  <c r="C849" i="1" s="1"/>
  <c r="F848" i="1"/>
  <c r="G848" i="1" s="1"/>
  <c r="D848" i="1"/>
  <c r="E848" i="1" s="1"/>
  <c r="B848" i="1"/>
  <c r="C848" i="1" s="1"/>
  <c r="F847" i="1"/>
  <c r="G847" i="1" s="1"/>
  <c r="D847" i="1"/>
  <c r="E847" i="1" s="1"/>
  <c r="B847" i="1"/>
  <c r="C847" i="1" s="1"/>
  <c r="F846" i="1"/>
  <c r="G846" i="1" s="1"/>
  <c r="D846" i="1"/>
  <c r="E846" i="1" s="1"/>
  <c r="B846" i="1"/>
  <c r="C846" i="1" s="1"/>
  <c r="F845" i="1"/>
  <c r="G845" i="1" s="1"/>
  <c r="D845" i="1"/>
  <c r="E845" i="1" s="1"/>
  <c r="B845" i="1"/>
  <c r="C845" i="1" s="1"/>
  <c r="F844" i="1"/>
  <c r="G844" i="1" s="1"/>
  <c r="D844" i="1"/>
  <c r="E844" i="1" s="1"/>
  <c r="B844" i="1"/>
  <c r="C844" i="1" s="1"/>
  <c r="F843" i="1"/>
  <c r="G843" i="1" s="1"/>
  <c r="D843" i="1"/>
  <c r="E843" i="1" s="1"/>
  <c r="B843" i="1"/>
  <c r="C843" i="1" s="1"/>
  <c r="F842" i="1"/>
  <c r="G842" i="1" s="1"/>
  <c r="D842" i="1"/>
  <c r="E842" i="1" s="1"/>
  <c r="B842" i="1"/>
  <c r="C842" i="1" s="1"/>
  <c r="F841" i="1"/>
  <c r="G841" i="1" s="1"/>
  <c r="D841" i="1"/>
  <c r="E841" i="1" s="1"/>
  <c r="B841" i="1"/>
  <c r="C841" i="1" s="1"/>
  <c r="F840" i="1"/>
  <c r="G840" i="1" s="1"/>
  <c r="D840" i="1"/>
  <c r="E840" i="1" s="1"/>
  <c r="B840" i="1"/>
  <c r="C840" i="1" s="1"/>
  <c r="F839" i="1"/>
  <c r="G839" i="1" s="1"/>
  <c r="D839" i="1"/>
  <c r="E839" i="1" s="1"/>
  <c r="B839" i="1"/>
  <c r="C839" i="1" s="1"/>
  <c r="F838" i="1"/>
  <c r="G838" i="1" s="1"/>
  <c r="D838" i="1"/>
  <c r="E838" i="1" s="1"/>
  <c r="B838" i="1"/>
  <c r="C838" i="1" s="1"/>
  <c r="F837" i="1"/>
  <c r="G837" i="1" s="1"/>
  <c r="D837" i="1"/>
  <c r="E837" i="1" s="1"/>
  <c r="B837" i="1"/>
  <c r="C837" i="1" s="1"/>
  <c r="F836" i="1"/>
  <c r="G836" i="1" s="1"/>
  <c r="D836" i="1"/>
  <c r="E836" i="1" s="1"/>
  <c r="B836" i="1"/>
  <c r="C836" i="1" s="1"/>
  <c r="F835" i="1"/>
  <c r="G835" i="1" s="1"/>
  <c r="D835" i="1"/>
  <c r="E835" i="1" s="1"/>
  <c r="B835" i="1"/>
  <c r="C835" i="1" s="1"/>
  <c r="F834" i="1"/>
  <c r="G834" i="1" s="1"/>
  <c r="D834" i="1"/>
  <c r="E834" i="1" s="1"/>
  <c r="B834" i="1"/>
  <c r="C834" i="1" s="1"/>
  <c r="F833" i="1"/>
  <c r="G833" i="1" s="1"/>
  <c r="D833" i="1"/>
  <c r="E833" i="1" s="1"/>
  <c r="B833" i="1"/>
  <c r="C833" i="1" s="1"/>
  <c r="F832" i="1"/>
  <c r="G832" i="1" s="1"/>
  <c r="D832" i="1"/>
  <c r="E832" i="1" s="1"/>
  <c r="B832" i="1"/>
  <c r="C832" i="1" s="1"/>
  <c r="F831" i="1"/>
  <c r="G831" i="1" s="1"/>
  <c r="D831" i="1"/>
  <c r="E831" i="1" s="1"/>
  <c r="B831" i="1"/>
  <c r="C831" i="1" s="1"/>
  <c r="F830" i="1"/>
  <c r="G830" i="1" s="1"/>
  <c r="D830" i="1"/>
  <c r="E830" i="1" s="1"/>
  <c r="B830" i="1"/>
  <c r="C830" i="1" s="1"/>
  <c r="F829" i="1"/>
  <c r="G829" i="1" s="1"/>
  <c r="D829" i="1"/>
  <c r="E829" i="1" s="1"/>
  <c r="B829" i="1"/>
  <c r="C829" i="1" s="1"/>
  <c r="F828" i="1"/>
  <c r="G828" i="1" s="1"/>
  <c r="D828" i="1"/>
  <c r="E828" i="1" s="1"/>
  <c r="B828" i="1"/>
  <c r="C828" i="1" s="1"/>
  <c r="F827" i="1"/>
  <c r="G827" i="1" s="1"/>
  <c r="D827" i="1"/>
  <c r="E827" i="1" s="1"/>
  <c r="B827" i="1"/>
  <c r="C827" i="1" s="1"/>
  <c r="F826" i="1"/>
  <c r="G826" i="1" s="1"/>
  <c r="D826" i="1"/>
  <c r="E826" i="1" s="1"/>
  <c r="B826" i="1"/>
  <c r="C826" i="1" s="1"/>
  <c r="F825" i="1"/>
  <c r="G825" i="1" s="1"/>
  <c r="D825" i="1"/>
  <c r="E825" i="1" s="1"/>
  <c r="B825" i="1"/>
  <c r="C825" i="1" s="1"/>
  <c r="F824" i="1"/>
  <c r="G824" i="1" s="1"/>
  <c r="D824" i="1"/>
  <c r="E824" i="1" s="1"/>
  <c r="B824" i="1"/>
  <c r="C824" i="1" s="1"/>
  <c r="F823" i="1"/>
  <c r="G823" i="1" s="1"/>
  <c r="D823" i="1"/>
  <c r="E823" i="1" s="1"/>
  <c r="B823" i="1"/>
  <c r="C823" i="1" s="1"/>
  <c r="F822" i="1"/>
  <c r="G822" i="1" s="1"/>
  <c r="D822" i="1"/>
  <c r="E822" i="1" s="1"/>
  <c r="B822" i="1"/>
  <c r="C822" i="1" s="1"/>
  <c r="F821" i="1"/>
  <c r="G821" i="1" s="1"/>
  <c r="D821" i="1"/>
  <c r="E821" i="1" s="1"/>
  <c r="B821" i="1"/>
  <c r="C821" i="1" s="1"/>
  <c r="F820" i="1"/>
  <c r="G820" i="1" s="1"/>
  <c r="D820" i="1"/>
  <c r="E820" i="1" s="1"/>
  <c r="B820" i="1"/>
  <c r="C820" i="1" s="1"/>
  <c r="F819" i="1"/>
  <c r="G819" i="1" s="1"/>
  <c r="D819" i="1"/>
  <c r="E819" i="1" s="1"/>
  <c r="B819" i="1"/>
  <c r="C819" i="1" s="1"/>
  <c r="F818" i="1"/>
  <c r="G818" i="1" s="1"/>
  <c r="D818" i="1"/>
  <c r="E818" i="1" s="1"/>
  <c r="B818" i="1"/>
  <c r="C818" i="1" s="1"/>
  <c r="F817" i="1"/>
  <c r="G817" i="1" s="1"/>
  <c r="D817" i="1"/>
  <c r="E817" i="1" s="1"/>
  <c r="B817" i="1"/>
  <c r="C817" i="1" s="1"/>
  <c r="F816" i="1"/>
  <c r="G816" i="1" s="1"/>
  <c r="D816" i="1"/>
  <c r="E816" i="1" s="1"/>
  <c r="B816" i="1"/>
  <c r="C816" i="1" s="1"/>
  <c r="F815" i="1"/>
  <c r="G815" i="1" s="1"/>
  <c r="D815" i="1"/>
  <c r="E815" i="1" s="1"/>
  <c r="B815" i="1"/>
  <c r="C815" i="1" s="1"/>
  <c r="F814" i="1"/>
  <c r="G814" i="1" s="1"/>
  <c r="D814" i="1"/>
  <c r="E814" i="1" s="1"/>
  <c r="B814" i="1"/>
  <c r="C814" i="1" s="1"/>
  <c r="F813" i="1"/>
  <c r="G813" i="1" s="1"/>
  <c r="D813" i="1"/>
  <c r="E813" i="1" s="1"/>
  <c r="B813" i="1"/>
  <c r="C813" i="1" s="1"/>
  <c r="F812" i="1"/>
  <c r="G812" i="1" s="1"/>
  <c r="D812" i="1"/>
  <c r="E812" i="1" s="1"/>
  <c r="B812" i="1"/>
  <c r="C812" i="1" s="1"/>
  <c r="F811" i="1"/>
  <c r="G811" i="1" s="1"/>
  <c r="D811" i="1"/>
  <c r="E811" i="1" s="1"/>
  <c r="B811" i="1"/>
  <c r="C811" i="1" s="1"/>
  <c r="F810" i="1"/>
  <c r="G810" i="1" s="1"/>
  <c r="D810" i="1"/>
  <c r="E810" i="1" s="1"/>
  <c r="B810" i="1"/>
  <c r="C810" i="1" s="1"/>
  <c r="F809" i="1"/>
  <c r="G809" i="1" s="1"/>
  <c r="D809" i="1"/>
  <c r="E809" i="1" s="1"/>
  <c r="B809" i="1"/>
  <c r="C809" i="1" s="1"/>
  <c r="F808" i="1"/>
  <c r="G808" i="1" s="1"/>
  <c r="D808" i="1"/>
  <c r="E808" i="1" s="1"/>
  <c r="B808" i="1"/>
  <c r="C808" i="1" s="1"/>
  <c r="F807" i="1"/>
  <c r="G807" i="1" s="1"/>
  <c r="D807" i="1"/>
  <c r="E807" i="1" s="1"/>
  <c r="B807" i="1"/>
  <c r="C807" i="1" s="1"/>
  <c r="F806" i="1"/>
  <c r="G806" i="1" s="1"/>
  <c r="D806" i="1"/>
  <c r="E806" i="1" s="1"/>
  <c r="B806" i="1"/>
  <c r="C806" i="1" s="1"/>
  <c r="F805" i="1"/>
  <c r="G805" i="1" s="1"/>
  <c r="D805" i="1"/>
  <c r="E805" i="1" s="1"/>
  <c r="B805" i="1"/>
  <c r="C805" i="1" s="1"/>
  <c r="F804" i="1"/>
  <c r="G804" i="1" s="1"/>
  <c r="D804" i="1"/>
  <c r="E804" i="1" s="1"/>
  <c r="B804" i="1"/>
  <c r="C804" i="1" s="1"/>
  <c r="F803" i="1"/>
  <c r="G803" i="1" s="1"/>
  <c r="D803" i="1"/>
  <c r="E803" i="1" s="1"/>
  <c r="B803" i="1"/>
  <c r="C803" i="1" s="1"/>
  <c r="F802" i="1"/>
  <c r="G802" i="1" s="1"/>
  <c r="D802" i="1"/>
  <c r="E802" i="1" s="1"/>
  <c r="B802" i="1"/>
  <c r="C802" i="1" s="1"/>
  <c r="F801" i="1"/>
  <c r="G801" i="1" s="1"/>
  <c r="D801" i="1"/>
  <c r="E801" i="1" s="1"/>
  <c r="B801" i="1"/>
  <c r="C801" i="1" s="1"/>
  <c r="F800" i="1"/>
  <c r="G800" i="1" s="1"/>
  <c r="D800" i="1"/>
  <c r="E800" i="1" s="1"/>
  <c r="B800" i="1"/>
  <c r="C800" i="1" s="1"/>
  <c r="F799" i="1"/>
  <c r="G799" i="1" s="1"/>
  <c r="D799" i="1"/>
  <c r="E799" i="1" s="1"/>
  <c r="B799" i="1"/>
  <c r="C799" i="1" s="1"/>
  <c r="F798" i="1"/>
  <c r="G798" i="1" s="1"/>
  <c r="D798" i="1"/>
  <c r="E798" i="1" s="1"/>
  <c r="B798" i="1"/>
  <c r="C798" i="1" s="1"/>
  <c r="F797" i="1"/>
  <c r="G797" i="1" s="1"/>
  <c r="D797" i="1"/>
  <c r="E797" i="1" s="1"/>
  <c r="B797" i="1"/>
  <c r="C797" i="1" s="1"/>
  <c r="F796" i="1"/>
  <c r="G796" i="1" s="1"/>
  <c r="D796" i="1"/>
  <c r="E796" i="1" s="1"/>
  <c r="B796" i="1"/>
  <c r="C796" i="1" s="1"/>
  <c r="F795" i="1"/>
  <c r="G795" i="1" s="1"/>
  <c r="D795" i="1"/>
  <c r="E795" i="1" s="1"/>
  <c r="B795" i="1"/>
  <c r="C795" i="1" s="1"/>
  <c r="F794" i="1"/>
  <c r="G794" i="1" s="1"/>
  <c r="D794" i="1"/>
  <c r="E794" i="1" s="1"/>
  <c r="B794" i="1"/>
  <c r="C794" i="1" s="1"/>
  <c r="F793" i="1"/>
  <c r="G793" i="1" s="1"/>
  <c r="D793" i="1"/>
  <c r="E793" i="1" s="1"/>
  <c r="B793" i="1"/>
  <c r="C793" i="1" s="1"/>
  <c r="F792" i="1"/>
  <c r="G792" i="1" s="1"/>
  <c r="D792" i="1"/>
  <c r="E792" i="1" s="1"/>
  <c r="B792" i="1"/>
  <c r="C792" i="1" s="1"/>
  <c r="F791" i="1"/>
  <c r="G791" i="1" s="1"/>
  <c r="D791" i="1"/>
  <c r="E791" i="1" s="1"/>
  <c r="B791" i="1"/>
  <c r="C791" i="1" s="1"/>
  <c r="F790" i="1"/>
  <c r="G790" i="1" s="1"/>
  <c r="D790" i="1"/>
  <c r="E790" i="1" s="1"/>
  <c r="B790" i="1"/>
  <c r="C790" i="1" s="1"/>
  <c r="F789" i="1"/>
  <c r="G789" i="1" s="1"/>
  <c r="D789" i="1"/>
  <c r="E789" i="1" s="1"/>
  <c r="B789" i="1"/>
  <c r="C789" i="1" s="1"/>
  <c r="F788" i="1"/>
  <c r="G788" i="1" s="1"/>
  <c r="D788" i="1"/>
  <c r="E788" i="1" s="1"/>
  <c r="B788" i="1"/>
  <c r="C788" i="1" s="1"/>
  <c r="F787" i="1"/>
  <c r="G787" i="1" s="1"/>
  <c r="D787" i="1"/>
  <c r="E787" i="1" s="1"/>
  <c r="B787" i="1"/>
  <c r="C787" i="1" s="1"/>
  <c r="F786" i="1"/>
  <c r="G786" i="1" s="1"/>
  <c r="D786" i="1"/>
  <c r="E786" i="1" s="1"/>
  <c r="B786" i="1"/>
  <c r="C786" i="1" s="1"/>
  <c r="F785" i="1"/>
  <c r="G785" i="1" s="1"/>
  <c r="D785" i="1"/>
  <c r="E785" i="1" s="1"/>
  <c r="B785" i="1"/>
  <c r="C785" i="1" s="1"/>
  <c r="F784" i="1"/>
  <c r="G784" i="1" s="1"/>
  <c r="D784" i="1"/>
  <c r="E784" i="1" s="1"/>
  <c r="B784" i="1"/>
  <c r="C784" i="1" s="1"/>
  <c r="F783" i="1"/>
  <c r="G783" i="1" s="1"/>
  <c r="D783" i="1"/>
  <c r="E783" i="1" s="1"/>
  <c r="B783" i="1"/>
  <c r="C783" i="1" s="1"/>
  <c r="F782" i="1"/>
  <c r="G782" i="1" s="1"/>
  <c r="D782" i="1"/>
  <c r="E782" i="1" s="1"/>
  <c r="B782" i="1"/>
  <c r="C782" i="1" s="1"/>
  <c r="F781" i="1"/>
  <c r="G781" i="1" s="1"/>
  <c r="D781" i="1"/>
  <c r="E781" i="1" s="1"/>
  <c r="B781" i="1"/>
  <c r="C781" i="1" s="1"/>
  <c r="F780" i="1"/>
  <c r="G780" i="1" s="1"/>
  <c r="D780" i="1"/>
  <c r="E780" i="1" s="1"/>
  <c r="B780" i="1"/>
  <c r="C780" i="1" s="1"/>
  <c r="F779" i="1"/>
  <c r="G779" i="1" s="1"/>
  <c r="D779" i="1"/>
  <c r="E779" i="1" s="1"/>
  <c r="B779" i="1"/>
  <c r="C779" i="1" s="1"/>
  <c r="F778" i="1"/>
  <c r="G778" i="1" s="1"/>
  <c r="D778" i="1"/>
  <c r="E778" i="1" s="1"/>
  <c r="B778" i="1"/>
  <c r="C778" i="1" s="1"/>
  <c r="F777" i="1"/>
  <c r="G777" i="1" s="1"/>
  <c r="D777" i="1"/>
  <c r="E777" i="1" s="1"/>
  <c r="B777" i="1"/>
  <c r="C777" i="1" s="1"/>
  <c r="F776" i="1"/>
  <c r="G776" i="1" s="1"/>
  <c r="D776" i="1"/>
  <c r="E776" i="1" s="1"/>
  <c r="B776" i="1"/>
  <c r="C776" i="1" s="1"/>
  <c r="F775" i="1"/>
  <c r="G775" i="1" s="1"/>
  <c r="D775" i="1"/>
  <c r="E775" i="1" s="1"/>
  <c r="B775" i="1"/>
  <c r="C775" i="1" s="1"/>
  <c r="F774" i="1"/>
  <c r="G774" i="1" s="1"/>
  <c r="D774" i="1"/>
  <c r="E774" i="1" s="1"/>
  <c r="B774" i="1"/>
  <c r="C774" i="1" s="1"/>
  <c r="F773" i="1"/>
  <c r="G773" i="1" s="1"/>
  <c r="D773" i="1"/>
  <c r="E773" i="1" s="1"/>
  <c r="B773" i="1"/>
  <c r="C773" i="1" s="1"/>
  <c r="F772" i="1"/>
  <c r="G772" i="1" s="1"/>
  <c r="D772" i="1"/>
  <c r="E772" i="1" s="1"/>
  <c r="B772" i="1"/>
  <c r="C772" i="1" s="1"/>
  <c r="F771" i="1"/>
  <c r="G771" i="1" s="1"/>
  <c r="D771" i="1"/>
  <c r="E771" i="1" s="1"/>
  <c r="B771" i="1"/>
  <c r="C771" i="1" s="1"/>
  <c r="F770" i="1"/>
  <c r="G770" i="1" s="1"/>
  <c r="D770" i="1"/>
  <c r="E770" i="1" s="1"/>
  <c r="B770" i="1"/>
  <c r="C770" i="1" s="1"/>
  <c r="F769" i="1"/>
  <c r="G769" i="1" s="1"/>
  <c r="D769" i="1"/>
  <c r="E769" i="1" s="1"/>
  <c r="B769" i="1"/>
  <c r="C769" i="1" s="1"/>
  <c r="F768" i="1"/>
  <c r="G768" i="1" s="1"/>
  <c r="D768" i="1"/>
  <c r="E768" i="1" s="1"/>
  <c r="B768" i="1"/>
  <c r="C768" i="1" s="1"/>
  <c r="F767" i="1"/>
  <c r="G767" i="1" s="1"/>
  <c r="D767" i="1"/>
  <c r="E767" i="1" s="1"/>
  <c r="B767" i="1"/>
  <c r="C767" i="1" s="1"/>
  <c r="F766" i="1"/>
  <c r="G766" i="1" s="1"/>
  <c r="D766" i="1"/>
  <c r="E766" i="1" s="1"/>
  <c r="B766" i="1"/>
  <c r="C766" i="1" s="1"/>
  <c r="F765" i="1"/>
  <c r="G765" i="1" s="1"/>
  <c r="D765" i="1"/>
  <c r="E765" i="1" s="1"/>
  <c r="B765" i="1"/>
  <c r="C765" i="1" s="1"/>
  <c r="F764" i="1"/>
  <c r="G764" i="1" s="1"/>
  <c r="D764" i="1"/>
  <c r="E764" i="1" s="1"/>
  <c r="B764" i="1"/>
  <c r="C764" i="1" s="1"/>
  <c r="F763" i="1"/>
  <c r="G763" i="1" s="1"/>
  <c r="D763" i="1"/>
  <c r="E763" i="1" s="1"/>
  <c r="B763" i="1"/>
  <c r="C763" i="1" s="1"/>
  <c r="F762" i="1"/>
  <c r="G762" i="1" s="1"/>
  <c r="D762" i="1"/>
  <c r="E762" i="1" s="1"/>
  <c r="B762" i="1"/>
  <c r="C762" i="1" s="1"/>
  <c r="F761" i="1"/>
  <c r="G761" i="1" s="1"/>
  <c r="D761" i="1"/>
  <c r="E761" i="1" s="1"/>
  <c r="B761" i="1"/>
  <c r="C761" i="1" s="1"/>
  <c r="F760" i="1"/>
  <c r="G760" i="1" s="1"/>
  <c r="D760" i="1"/>
  <c r="E760" i="1" s="1"/>
  <c r="B760" i="1"/>
  <c r="C760" i="1" s="1"/>
  <c r="F759" i="1"/>
  <c r="G759" i="1" s="1"/>
  <c r="D759" i="1"/>
  <c r="E759" i="1" s="1"/>
  <c r="B759" i="1"/>
  <c r="C759" i="1" s="1"/>
  <c r="F758" i="1"/>
  <c r="G758" i="1" s="1"/>
  <c r="D758" i="1"/>
  <c r="E758" i="1" s="1"/>
  <c r="B758" i="1"/>
  <c r="C758" i="1" s="1"/>
  <c r="F757" i="1"/>
  <c r="G757" i="1" s="1"/>
  <c r="D757" i="1"/>
  <c r="E757" i="1" s="1"/>
  <c r="B757" i="1"/>
  <c r="C757" i="1" s="1"/>
  <c r="F756" i="1"/>
  <c r="G756" i="1" s="1"/>
  <c r="D756" i="1"/>
  <c r="E756" i="1" s="1"/>
  <c r="B756" i="1"/>
  <c r="C756" i="1" s="1"/>
  <c r="F755" i="1"/>
  <c r="G755" i="1" s="1"/>
  <c r="D755" i="1"/>
  <c r="E755" i="1" s="1"/>
  <c r="B755" i="1"/>
  <c r="C755" i="1" s="1"/>
  <c r="F754" i="1"/>
  <c r="G754" i="1" s="1"/>
  <c r="D754" i="1"/>
  <c r="E754" i="1" s="1"/>
  <c r="B754" i="1"/>
  <c r="C754" i="1" s="1"/>
  <c r="F753" i="1"/>
  <c r="G753" i="1" s="1"/>
  <c r="D753" i="1"/>
  <c r="E753" i="1" s="1"/>
  <c r="B753" i="1"/>
  <c r="C753" i="1" s="1"/>
  <c r="F752" i="1"/>
  <c r="G752" i="1" s="1"/>
  <c r="D752" i="1"/>
  <c r="E752" i="1" s="1"/>
  <c r="B752" i="1"/>
  <c r="C752" i="1" s="1"/>
  <c r="F751" i="1"/>
  <c r="G751" i="1" s="1"/>
  <c r="D751" i="1"/>
  <c r="E751" i="1" s="1"/>
  <c r="B751" i="1"/>
  <c r="C751" i="1" s="1"/>
  <c r="F750" i="1"/>
  <c r="G750" i="1" s="1"/>
  <c r="D750" i="1"/>
  <c r="E750" i="1" s="1"/>
  <c r="B750" i="1"/>
  <c r="C750" i="1" s="1"/>
  <c r="F749" i="1"/>
  <c r="G749" i="1" s="1"/>
  <c r="D749" i="1"/>
  <c r="E749" i="1" s="1"/>
  <c r="B749" i="1"/>
  <c r="C749" i="1" s="1"/>
  <c r="F748" i="1"/>
  <c r="G748" i="1" s="1"/>
  <c r="D748" i="1"/>
  <c r="E748" i="1" s="1"/>
  <c r="B748" i="1"/>
  <c r="C748" i="1" s="1"/>
  <c r="F747" i="1"/>
  <c r="G747" i="1" s="1"/>
  <c r="D747" i="1"/>
  <c r="E747" i="1" s="1"/>
  <c r="B747" i="1"/>
  <c r="C747" i="1" s="1"/>
  <c r="F746" i="1"/>
  <c r="G746" i="1" s="1"/>
  <c r="D746" i="1"/>
  <c r="E746" i="1" s="1"/>
  <c r="B746" i="1"/>
  <c r="C746" i="1" s="1"/>
  <c r="F745" i="1"/>
  <c r="G745" i="1" s="1"/>
  <c r="D745" i="1"/>
  <c r="E745" i="1" s="1"/>
  <c r="B745" i="1"/>
  <c r="C745" i="1" s="1"/>
  <c r="F744" i="1"/>
  <c r="G744" i="1" s="1"/>
  <c r="D744" i="1"/>
  <c r="E744" i="1" s="1"/>
  <c r="B744" i="1"/>
  <c r="C744" i="1" s="1"/>
  <c r="F743" i="1"/>
  <c r="G743" i="1" s="1"/>
  <c r="D743" i="1"/>
  <c r="E743" i="1" s="1"/>
  <c r="B743" i="1"/>
  <c r="C743" i="1" s="1"/>
  <c r="F742" i="1"/>
  <c r="G742" i="1" s="1"/>
  <c r="D742" i="1"/>
  <c r="E742" i="1" s="1"/>
  <c r="B742" i="1"/>
  <c r="C742" i="1" s="1"/>
  <c r="F741" i="1"/>
  <c r="G741" i="1" s="1"/>
  <c r="D741" i="1"/>
  <c r="E741" i="1" s="1"/>
  <c r="B741" i="1"/>
  <c r="C741" i="1" s="1"/>
  <c r="F740" i="1"/>
  <c r="G740" i="1" s="1"/>
  <c r="D740" i="1"/>
  <c r="E740" i="1" s="1"/>
  <c r="B740" i="1"/>
  <c r="C740" i="1" s="1"/>
  <c r="F739" i="1"/>
  <c r="G739" i="1" s="1"/>
  <c r="D739" i="1"/>
  <c r="E739" i="1" s="1"/>
  <c r="B739" i="1"/>
  <c r="C739" i="1" s="1"/>
  <c r="F738" i="1"/>
  <c r="G738" i="1" s="1"/>
  <c r="D738" i="1"/>
  <c r="E738" i="1" s="1"/>
  <c r="B738" i="1"/>
  <c r="C738" i="1" s="1"/>
  <c r="F737" i="1"/>
  <c r="G737" i="1" s="1"/>
  <c r="D737" i="1"/>
  <c r="E737" i="1" s="1"/>
  <c r="B737" i="1"/>
  <c r="C737" i="1" s="1"/>
  <c r="F736" i="1"/>
  <c r="G736" i="1" s="1"/>
  <c r="D736" i="1"/>
  <c r="E736" i="1" s="1"/>
  <c r="B736" i="1"/>
  <c r="C736" i="1" s="1"/>
  <c r="F735" i="1"/>
  <c r="G735" i="1" s="1"/>
  <c r="D735" i="1"/>
  <c r="E735" i="1" s="1"/>
  <c r="B735" i="1"/>
  <c r="C735" i="1" s="1"/>
  <c r="F734" i="1"/>
  <c r="G734" i="1" s="1"/>
  <c r="D734" i="1"/>
  <c r="E734" i="1" s="1"/>
  <c r="B734" i="1"/>
  <c r="C734" i="1" s="1"/>
  <c r="F733" i="1"/>
  <c r="G733" i="1" s="1"/>
  <c r="D733" i="1"/>
  <c r="E733" i="1" s="1"/>
  <c r="B733" i="1"/>
  <c r="C733" i="1" s="1"/>
  <c r="F732" i="1"/>
  <c r="G732" i="1" s="1"/>
  <c r="D732" i="1"/>
  <c r="E732" i="1" s="1"/>
  <c r="B732" i="1"/>
  <c r="C732" i="1" s="1"/>
  <c r="F731" i="1"/>
  <c r="G731" i="1" s="1"/>
  <c r="D731" i="1"/>
  <c r="E731" i="1" s="1"/>
  <c r="B731" i="1"/>
  <c r="C731" i="1" s="1"/>
  <c r="F730" i="1"/>
  <c r="G730" i="1" s="1"/>
  <c r="D730" i="1"/>
  <c r="E730" i="1" s="1"/>
  <c r="B730" i="1"/>
  <c r="C730" i="1" s="1"/>
  <c r="F729" i="1"/>
  <c r="G729" i="1" s="1"/>
  <c r="D729" i="1"/>
  <c r="E729" i="1" s="1"/>
  <c r="B729" i="1"/>
  <c r="C729" i="1" s="1"/>
  <c r="F728" i="1"/>
  <c r="G728" i="1" s="1"/>
  <c r="D728" i="1"/>
  <c r="E728" i="1" s="1"/>
  <c r="B728" i="1"/>
  <c r="C728" i="1" s="1"/>
  <c r="F727" i="1"/>
  <c r="G727" i="1" s="1"/>
  <c r="D727" i="1"/>
  <c r="E727" i="1" s="1"/>
  <c r="B727" i="1"/>
  <c r="C727" i="1" s="1"/>
  <c r="F726" i="1"/>
  <c r="G726" i="1" s="1"/>
  <c r="D726" i="1"/>
  <c r="E726" i="1" s="1"/>
  <c r="B726" i="1"/>
  <c r="C726" i="1" s="1"/>
  <c r="F725" i="1"/>
  <c r="G725" i="1" s="1"/>
  <c r="D725" i="1"/>
  <c r="E725" i="1" s="1"/>
  <c r="B725" i="1"/>
  <c r="C725" i="1" s="1"/>
  <c r="F724" i="1"/>
  <c r="G724" i="1" s="1"/>
  <c r="D724" i="1"/>
  <c r="E724" i="1" s="1"/>
  <c r="B724" i="1"/>
  <c r="C724" i="1" s="1"/>
  <c r="F723" i="1"/>
  <c r="G723" i="1" s="1"/>
  <c r="D723" i="1"/>
  <c r="E723" i="1" s="1"/>
  <c r="B723" i="1"/>
  <c r="C723" i="1" s="1"/>
  <c r="F722" i="1"/>
  <c r="G722" i="1" s="1"/>
  <c r="D722" i="1"/>
  <c r="E722" i="1" s="1"/>
  <c r="B722" i="1"/>
  <c r="C722" i="1" s="1"/>
  <c r="F721" i="1"/>
  <c r="G721" i="1" s="1"/>
  <c r="D721" i="1"/>
  <c r="E721" i="1" s="1"/>
  <c r="B721" i="1"/>
  <c r="C721" i="1" s="1"/>
  <c r="F720" i="1"/>
  <c r="G720" i="1" s="1"/>
  <c r="D720" i="1"/>
  <c r="E720" i="1" s="1"/>
  <c r="B720" i="1"/>
  <c r="C720" i="1" s="1"/>
  <c r="F719" i="1"/>
  <c r="G719" i="1" s="1"/>
  <c r="D719" i="1"/>
  <c r="E719" i="1" s="1"/>
  <c r="B719" i="1"/>
  <c r="C719" i="1" s="1"/>
  <c r="F718" i="1"/>
  <c r="G718" i="1" s="1"/>
  <c r="D718" i="1"/>
  <c r="E718" i="1" s="1"/>
  <c r="B718" i="1"/>
  <c r="C718" i="1" s="1"/>
  <c r="F717" i="1"/>
  <c r="G717" i="1" s="1"/>
  <c r="D717" i="1"/>
  <c r="E717" i="1" s="1"/>
  <c r="B717" i="1"/>
  <c r="C717" i="1" s="1"/>
  <c r="F716" i="1"/>
  <c r="G716" i="1" s="1"/>
  <c r="D716" i="1"/>
  <c r="E716" i="1" s="1"/>
  <c r="B716" i="1"/>
  <c r="C716" i="1" s="1"/>
  <c r="F715" i="1"/>
  <c r="G715" i="1" s="1"/>
  <c r="D715" i="1"/>
  <c r="E715" i="1" s="1"/>
  <c r="B715" i="1"/>
  <c r="C715" i="1" s="1"/>
  <c r="F714" i="1"/>
  <c r="G714" i="1" s="1"/>
  <c r="D714" i="1"/>
  <c r="E714" i="1" s="1"/>
  <c r="B714" i="1"/>
  <c r="C714" i="1" s="1"/>
  <c r="F713" i="1"/>
  <c r="G713" i="1" s="1"/>
  <c r="D713" i="1"/>
  <c r="E713" i="1" s="1"/>
  <c r="B713" i="1"/>
  <c r="C713" i="1" s="1"/>
  <c r="F712" i="1"/>
  <c r="G712" i="1" s="1"/>
  <c r="D712" i="1"/>
  <c r="E712" i="1" s="1"/>
  <c r="B712" i="1"/>
  <c r="C712" i="1" s="1"/>
  <c r="F711" i="1"/>
  <c r="G711" i="1" s="1"/>
  <c r="D711" i="1"/>
  <c r="E711" i="1" s="1"/>
  <c r="B711" i="1"/>
  <c r="C711" i="1" s="1"/>
  <c r="F710" i="1"/>
  <c r="G710" i="1" s="1"/>
  <c r="D710" i="1"/>
  <c r="E710" i="1" s="1"/>
  <c r="B710" i="1"/>
  <c r="C710" i="1" s="1"/>
  <c r="F709" i="1"/>
  <c r="G709" i="1" s="1"/>
  <c r="D709" i="1"/>
  <c r="E709" i="1" s="1"/>
  <c r="B709" i="1"/>
  <c r="C709" i="1" s="1"/>
  <c r="F708" i="1"/>
  <c r="G708" i="1" s="1"/>
  <c r="D708" i="1"/>
  <c r="E708" i="1" s="1"/>
  <c r="B708" i="1"/>
  <c r="C708" i="1" s="1"/>
  <c r="F707" i="1"/>
  <c r="G707" i="1" s="1"/>
  <c r="D707" i="1"/>
  <c r="E707" i="1" s="1"/>
  <c r="B707" i="1"/>
  <c r="C707" i="1" s="1"/>
  <c r="F706" i="1"/>
  <c r="G706" i="1" s="1"/>
  <c r="D706" i="1"/>
  <c r="E706" i="1" s="1"/>
  <c r="B706" i="1"/>
  <c r="C706" i="1" s="1"/>
  <c r="F705" i="1"/>
  <c r="G705" i="1" s="1"/>
  <c r="D705" i="1"/>
  <c r="E705" i="1" s="1"/>
  <c r="B705" i="1"/>
  <c r="C705" i="1" s="1"/>
  <c r="F704" i="1"/>
  <c r="G704" i="1" s="1"/>
  <c r="D704" i="1"/>
  <c r="E704" i="1" s="1"/>
  <c r="B704" i="1"/>
  <c r="C704" i="1" s="1"/>
  <c r="F703" i="1"/>
  <c r="G703" i="1" s="1"/>
  <c r="D703" i="1"/>
  <c r="E703" i="1" s="1"/>
  <c r="B703" i="1"/>
  <c r="C703" i="1" s="1"/>
  <c r="F702" i="1"/>
  <c r="G702" i="1" s="1"/>
  <c r="D702" i="1"/>
  <c r="E702" i="1" s="1"/>
  <c r="B702" i="1"/>
  <c r="C702" i="1" s="1"/>
  <c r="F701" i="1"/>
  <c r="G701" i="1" s="1"/>
  <c r="D701" i="1"/>
  <c r="E701" i="1" s="1"/>
  <c r="B701" i="1"/>
  <c r="C701" i="1" s="1"/>
  <c r="F700" i="1"/>
  <c r="G700" i="1" s="1"/>
  <c r="D700" i="1"/>
  <c r="E700" i="1" s="1"/>
  <c r="B700" i="1"/>
  <c r="C700" i="1" s="1"/>
  <c r="F699" i="1"/>
  <c r="G699" i="1" s="1"/>
  <c r="D699" i="1"/>
  <c r="E699" i="1" s="1"/>
  <c r="B699" i="1"/>
  <c r="C699" i="1" s="1"/>
  <c r="F698" i="1"/>
  <c r="G698" i="1" s="1"/>
  <c r="D698" i="1"/>
  <c r="E698" i="1" s="1"/>
  <c r="B698" i="1"/>
  <c r="C698" i="1" s="1"/>
  <c r="F697" i="1"/>
  <c r="G697" i="1" s="1"/>
  <c r="D697" i="1"/>
  <c r="E697" i="1" s="1"/>
  <c r="B697" i="1"/>
  <c r="C697" i="1" s="1"/>
  <c r="F696" i="1"/>
  <c r="G696" i="1" s="1"/>
  <c r="D696" i="1"/>
  <c r="E696" i="1" s="1"/>
  <c r="B696" i="1"/>
  <c r="C696" i="1" s="1"/>
  <c r="F695" i="1"/>
  <c r="G695" i="1" s="1"/>
  <c r="D695" i="1"/>
  <c r="E695" i="1" s="1"/>
  <c r="B695" i="1"/>
  <c r="C695" i="1" s="1"/>
  <c r="F694" i="1"/>
  <c r="G694" i="1" s="1"/>
  <c r="D694" i="1"/>
  <c r="E694" i="1" s="1"/>
  <c r="B694" i="1"/>
  <c r="C694" i="1" s="1"/>
  <c r="F693" i="1"/>
  <c r="G693" i="1" s="1"/>
  <c r="D693" i="1"/>
  <c r="E693" i="1" s="1"/>
  <c r="B693" i="1"/>
  <c r="C693" i="1" s="1"/>
  <c r="F692" i="1"/>
  <c r="G692" i="1" s="1"/>
  <c r="D692" i="1"/>
  <c r="E692" i="1" s="1"/>
  <c r="B692" i="1"/>
  <c r="C692" i="1" s="1"/>
  <c r="F691" i="1"/>
  <c r="G691" i="1" s="1"/>
  <c r="D691" i="1"/>
  <c r="E691" i="1" s="1"/>
  <c r="B691" i="1"/>
  <c r="C691" i="1" s="1"/>
  <c r="F690" i="1"/>
  <c r="G690" i="1" s="1"/>
  <c r="D690" i="1"/>
  <c r="E690" i="1" s="1"/>
  <c r="B690" i="1"/>
  <c r="C690" i="1" s="1"/>
  <c r="F689" i="1"/>
  <c r="G689" i="1" s="1"/>
  <c r="D689" i="1"/>
  <c r="E689" i="1" s="1"/>
  <c r="B689" i="1"/>
  <c r="C689" i="1" s="1"/>
  <c r="F688" i="1"/>
  <c r="G688" i="1" s="1"/>
  <c r="D688" i="1"/>
  <c r="E688" i="1" s="1"/>
  <c r="B688" i="1"/>
  <c r="C688" i="1" s="1"/>
  <c r="F687" i="1"/>
  <c r="G687" i="1" s="1"/>
  <c r="D687" i="1"/>
  <c r="E687" i="1" s="1"/>
  <c r="B687" i="1"/>
  <c r="C687" i="1" s="1"/>
  <c r="F686" i="1"/>
  <c r="G686" i="1" s="1"/>
  <c r="D686" i="1"/>
  <c r="E686" i="1" s="1"/>
  <c r="B686" i="1"/>
  <c r="C686" i="1" s="1"/>
  <c r="F685" i="1"/>
  <c r="G685" i="1" s="1"/>
  <c r="D685" i="1"/>
  <c r="E685" i="1" s="1"/>
  <c r="B685" i="1"/>
  <c r="C685" i="1" s="1"/>
  <c r="F684" i="1"/>
  <c r="G684" i="1" s="1"/>
  <c r="D684" i="1"/>
  <c r="E684" i="1" s="1"/>
  <c r="B684" i="1"/>
  <c r="C684" i="1" s="1"/>
  <c r="F683" i="1"/>
  <c r="G683" i="1" s="1"/>
  <c r="D683" i="1"/>
  <c r="E683" i="1" s="1"/>
  <c r="B683" i="1"/>
  <c r="C683" i="1" s="1"/>
  <c r="F682" i="1"/>
  <c r="G682" i="1" s="1"/>
  <c r="D682" i="1"/>
  <c r="E682" i="1" s="1"/>
  <c r="B682" i="1"/>
  <c r="C682" i="1" s="1"/>
  <c r="F681" i="1"/>
  <c r="G681" i="1" s="1"/>
  <c r="D681" i="1"/>
  <c r="E681" i="1" s="1"/>
  <c r="B681" i="1"/>
  <c r="C681" i="1" s="1"/>
  <c r="F680" i="1"/>
  <c r="G680" i="1" s="1"/>
  <c r="D680" i="1"/>
  <c r="E680" i="1" s="1"/>
  <c r="B680" i="1"/>
  <c r="C680" i="1" s="1"/>
  <c r="F679" i="1"/>
  <c r="G679" i="1" s="1"/>
  <c r="D679" i="1"/>
  <c r="E679" i="1" s="1"/>
  <c r="B679" i="1"/>
  <c r="C679" i="1" s="1"/>
  <c r="F678" i="1"/>
  <c r="G678" i="1" s="1"/>
  <c r="D678" i="1"/>
  <c r="E678" i="1" s="1"/>
  <c r="B678" i="1"/>
  <c r="C678" i="1" s="1"/>
  <c r="F677" i="1"/>
  <c r="G677" i="1" s="1"/>
  <c r="D677" i="1"/>
  <c r="E677" i="1" s="1"/>
  <c r="B677" i="1"/>
  <c r="C677" i="1" s="1"/>
  <c r="F676" i="1"/>
  <c r="G676" i="1" s="1"/>
  <c r="D676" i="1"/>
  <c r="E676" i="1" s="1"/>
  <c r="B676" i="1"/>
  <c r="C676" i="1" s="1"/>
  <c r="F675" i="1"/>
  <c r="G675" i="1" s="1"/>
  <c r="D675" i="1"/>
  <c r="E675" i="1" s="1"/>
  <c r="B675" i="1"/>
  <c r="C675" i="1" s="1"/>
  <c r="F674" i="1"/>
  <c r="G674" i="1" s="1"/>
  <c r="D674" i="1"/>
  <c r="E674" i="1" s="1"/>
  <c r="B674" i="1"/>
  <c r="C674" i="1" s="1"/>
  <c r="F673" i="1"/>
  <c r="G673" i="1" s="1"/>
  <c r="D673" i="1"/>
  <c r="E673" i="1" s="1"/>
  <c r="B673" i="1"/>
  <c r="C673" i="1" s="1"/>
  <c r="F672" i="1"/>
  <c r="G672" i="1" s="1"/>
  <c r="D672" i="1"/>
  <c r="E672" i="1" s="1"/>
  <c r="B672" i="1"/>
  <c r="C672" i="1" s="1"/>
  <c r="F671" i="1"/>
  <c r="G671" i="1" s="1"/>
  <c r="D671" i="1"/>
  <c r="E671" i="1" s="1"/>
  <c r="B671" i="1"/>
  <c r="C671" i="1" s="1"/>
  <c r="F670" i="1"/>
  <c r="G670" i="1" s="1"/>
  <c r="D670" i="1"/>
  <c r="E670" i="1" s="1"/>
  <c r="B670" i="1"/>
  <c r="C670" i="1" s="1"/>
  <c r="F669" i="1"/>
  <c r="G669" i="1" s="1"/>
  <c r="D669" i="1"/>
  <c r="E669" i="1" s="1"/>
  <c r="B669" i="1"/>
  <c r="C669" i="1" s="1"/>
  <c r="F668" i="1"/>
  <c r="G668" i="1" s="1"/>
  <c r="D668" i="1"/>
  <c r="E668" i="1" s="1"/>
  <c r="B668" i="1"/>
  <c r="C668" i="1" s="1"/>
  <c r="F667" i="1"/>
  <c r="G667" i="1" s="1"/>
  <c r="D667" i="1"/>
  <c r="E667" i="1" s="1"/>
  <c r="B667" i="1"/>
  <c r="C667" i="1" s="1"/>
  <c r="F666" i="1"/>
  <c r="G666" i="1" s="1"/>
  <c r="D666" i="1"/>
  <c r="E666" i="1" s="1"/>
  <c r="B666" i="1"/>
  <c r="C666" i="1" s="1"/>
  <c r="F665" i="1"/>
  <c r="G665" i="1" s="1"/>
  <c r="D665" i="1"/>
  <c r="E665" i="1" s="1"/>
  <c r="B665" i="1"/>
  <c r="C665" i="1" s="1"/>
  <c r="F664" i="1"/>
  <c r="G664" i="1" s="1"/>
  <c r="D664" i="1"/>
  <c r="E664" i="1" s="1"/>
  <c r="B664" i="1"/>
  <c r="C664" i="1" s="1"/>
  <c r="F663" i="1"/>
  <c r="G663" i="1" s="1"/>
  <c r="D663" i="1"/>
  <c r="E663" i="1" s="1"/>
  <c r="B663" i="1"/>
  <c r="C663" i="1" s="1"/>
  <c r="F662" i="1"/>
  <c r="G662" i="1" s="1"/>
  <c r="D662" i="1"/>
  <c r="E662" i="1" s="1"/>
  <c r="B662" i="1"/>
  <c r="C662" i="1" s="1"/>
  <c r="F661" i="1"/>
  <c r="G661" i="1" s="1"/>
  <c r="D661" i="1"/>
  <c r="E661" i="1" s="1"/>
  <c r="B661" i="1"/>
  <c r="C661" i="1" s="1"/>
  <c r="F660" i="1"/>
  <c r="G660" i="1" s="1"/>
  <c r="D660" i="1"/>
  <c r="E660" i="1" s="1"/>
  <c r="B660" i="1"/>
  <c r="C660" i="1" s="1"/>
  <c r="F659" i="1"/>
  <c r="G659" i="1" s="1"/>
  <c r="D659" i="1"/>
  <c r="E659" i="1" s="1"/>
  <c r="B659" i="1"/>
  <c r="C659" i="1" s="1"/>
  <c r="F658" i="1"/>
  <c r="G658" i="1" s="1"/>
  <c r="D658" i="1"/>
  <c r="E658" i="1" s="1"/>
  <c r="B658" i="1"/>
  <c r="C658" i="1" s="1"/>
  <c r="F657" i="1"/>
  <c r="G657" i="1" s="1"/>
  <c r="D657" i="1"/>
  <c r="E657" i="1" s="1"/>
  <c r="B657" i="1"/>
  <c r="C657" i="1" s="1"/>
  <c r="F656" i="1"/>
  <c r="G656" i="1" s="1"/>
  <c r="D656" i="1"/>
  <c r="E656" i="1" s="1"/>
  <c r="B656" i="1"/>
  <c r="C656" i="1" s="1"/>
  <c r="F655" i="1"/>
  <c r="G655" i="1" s="1"/>
  <c r="D655" i="1"/>
  <c r="E655" i="1" s="1"/>
  <c r="B655" i="1"/>
  <c r="C655" i="1" s="1"/>
  <c r="F654" i="1"/>
  <c r="G654" i="1" s="1"/>
  <c r="D654" i="1"/>
  <c r="E654" i="1" s="1"/>
  <c r="B654" i="1"/>
  <c r="C654" i="1" s="1"/>
  <c r="F653" i="1"/>
  <c r="G653" i="1" s="1"/>
  <c r="D653" i="1"/>
  <c r="E653" i="1" s="1"/>
  <c r="B653" i="1"/>
  <c r="C653" i="1" s="1"/>
  <c r="F652" i="1"/>
  <c r="G652" i="1" s="1"/>
  <c r="D652" i="1"/>
  <c r="E652" i="1" s="1"/>
  <c r="B652" i="1"/>
  <c r="C652" i="1" s="1"/>
  <c r="F651" i="1"/>
  <c r="G651" i="1" s="1"/>
  <c r="D651" i="1"/>
  <c r="E651" i="1" s="1"/>
  <c r="B651" i="1"/>
  <c r="C651" i="1" s="1"/>
  <c r="F650" i="1"/>
  <c r="G650" i="1" s="1"/>
  <c r="D650" i="1"/>
  <c r="E650" i="1" s="1"/>
  <c r="B650" i="1"/>
  <c r="C650" i="1" s="1"/>
  <c r="F649" i="1"/>
  <c r="G649" i="1" s="1"/>
  <c r="D649" i="1"/>
  <c r="E649" i="1" s="1"/>
  <c r="B649" i="1"/>
  <c r="C649" i="1" s="1"/>
  <c r="F648" i="1"/>
  <c r="G648" i="1" s="1"/>
  <c r="D648" i="1"/>
  <c r="E648" i="1" s="1"/>
  <c r="B648" i="1"/>
  <c r="C648" i="1" s="1"/>
  <c r="F647" i="1"/>
  <c r="G647" i="1" s="1"/>
  <c r="D647" i="1"/>
  <c r="E647" i="1" s="1"/>
  <c r="B647" i="1"/>
  <c r="C647" i="1" s="1"/>
  <c r="F646" i="1"/>
  <c r="G646" i="1" s="1"/>
  <c r="D646" i="1"/>
  <c r="E646" i="1" s="1"/>
  <c r="B646" i="1"/>
  <c r="C646" i="1" s="1"/>
  <c r="F645" i="1"/>
  <c r="G645" i="1" s="1"/>
  <c r="D645" i="1"/>
  <c r="E645" i="1" s="1"/>
  <c r="B645" i="1"/>
  <c r="C645" i="1" s="1"/>
  <c r="F644" i="1"/>
  <c r="G644" i="1" s="1"/>
  <c r="D644" i="1"/>
  <c r="E644" i="1" s="1"/>
  <c r="B644" i="1"/>
  <c r="C644" i="1" s="1"/>
  <c r="F643" i="1"/>
  <c r="G643" i="1" s="1"/>
  <c r="D643" i="1"/>
  <c r="E643" i="1" s="1"/>
  <c r="B643" i="1"/>
  <c r="C643" i="1" s="1"/>
  <c r="F642" i="1"/>
  <c r="G642" i="1" s="1"/>
  <c r="D642" i="1"/>
  <c r="E642" i="1" s="1"/>
  <c r="B642" i="1"/>
  <c r="C642" i="1" s="1"/>
  <c r="F641" i="1"/>
  <c r="G641" i="1" s="1"/>
  <c r="D641" i="1"/>
  <c r="E641" i="1" s="1"/>
  <c r="B641" i="1"/>
  <c r="C641" i="1" s="1"/>
  <c r="F640" i="1"/>
  <c r="G640" i="1" s="1"/>
  <c r="D640" i="1"/>
  <c r="E640" i="1" s="1"/>
  <c r="B640" i="1"/>
  <c r="C640" i="1" s="1"/>
  <c r="F639" i="1"/>
  <c r="G639" i="1" s="1"/>
  <c r="D639" i="1"/>
  <c r="E639" i="1" s="1"/>
  <c r="B639" i="1"/>
  <c r="C639" i="1" s="1"/>
  <c r="F638" i="1"/>
  <c r="G638" i="1" s="1"/>
  <c r="D638" i="1"/>
  <c r="E638" i="1" s="1"/>
  <c r="B638" i="1"/>
  <c r="C638" i="1" s="1"/>
  <c r="F637" i="1"/>
  <c r="G637" i="1" s="1"/>
  <c r="D637" i="1"/>
  <c r="E637" i="1" s="1"/>
  <c r="B637" i="1"/>
  <c r="C637" i="1" s="1"/>
  <c r="F636" i="1"/>
  <c r="G636" i="1" s="1"/>
  <c r="D636" i="1"/>
  <c r="E636" i="1" s="1"/>
  <c r="B636" i="1"/>
  <c r="C636" i="1" s="1"/>
  <c r="F635" i="1"/>
  <c r="G635" i="1" s="1"/>
  <c r="D635" i="1"/>
  <c r="E635" i="1" s="1"/>
  <c r="B635" i="1"/>
  <c r="C635" i="1" s="1"/>
  <c r="F634" i="1"/>
  <c r="G634" i="1" s="1"/>
  <c r="D634" i="1"/>
  <c r="E634" i="1" s="1"/>
  <c r="B634" i="1"/>
  <c r="C634" i="1" s="1"/>
  <c r="F633" i="1"/>
  <c r="G633" i="1" s="1"/>
  <c r="D633" i="1"/>
  <c r="E633" i="1" s="1"/>
  <c r="B633" i="1"/>
  <c r="C633" i="1" s="1"/>
  <c r="F632" i="1"/>
  <c r="G632" i="1" s="1"/>
  <c r="D632" i="1"/>
  <c r="E632" i="1" s="1"/>
  <c r="B632" i="1"/>
  <c r="C632" i="1" s="1"/>
  <c r="F631" i="1"/>
  <c r="G631" i="1" s="1"/>
  <c r="D631" i="1"/>
  <c r="E631" i="1" s="1"/>
  <c r="B631" i="1"/>
  <c r="C631" i="1" s="1"/>
  <c r="F630" i="1"/>
  <c r="G630" i="1" s="1"/>
  <c r="D630" i="1"/>
  <c r="E630" i="1" s="1"/>
  <c r="B630" i="1"/>
  <c r="C630" i="1" s="1"/>
  <c r="F629" i="1"/>
  <c r="G629" i="1" s="1"/>
  <c r="D629" i="1"/>
  <c r="E629" i="1" s="1"/>
  <c r="B629" i="1"/>
  <c r="C629" i="1" s="1"/>
  <c r="F628" i="1"/>
  <c r="G628" i="1" s="1"/>
  <c r="D628" i="1"/>
  <c r="E628" i="1" s="1"/>
  <c r="B628" i="1"/>
  <c r="C628" i="1" s="1"/>
  <c r="F627" i="1"/>
  <c r="G627" i="1" s="1"/>
  <c r="D627" i="1"/>
  <c r="E627" i="1" s="1"/>
  <c r="B627" i="1"/>
  <c r="C627" i="1" s="1"/>
  <c r="F626" i="1"/>
  <c r="G626" i="1" s="1"/>
  <c r="D626" i="1"/>
  <c r="E626" i="1" s="1"/>
  <c r="B626" i="1"/>
  <c r="C626" i="1" s="1"/>
  <c r="F625" i="1"/>
  <c r="G625" i="1" s="1"/>
  <c r="D625" i="1"/>
  <c r="E625" i="1" s="1"/>
  <c r="B625" i="1"/>
  <c r="C625" i="1" s="1"/>
  <c r="F624" i="1"/>
  <c r="G624" i="1" s="1"/>
  <c r="D624" i="1"/>
  <c r="E624" i="1" s="1"/>
  <c r="B624" i="1"/>
  <c r="C624" i="1" s="1"/>
  <c r="F623" i="1"/>
  <c r="G623" i="1" s="1"/>
  <c r="D623" i="1"/>
  <c r="E623" i="1" s="1"/>
  <c r="B623" i="1"/>
  <c r="C623" i="1" s="1"/>
  <c r="F622" i="1"/>
  <c r="G622" i="1" s="1"/>
  <c r="D622" i="1"/>
  <c r="E622" i="1" s="1"/>
  <c r="B622" i="1"/>
  <c r="C622" i="1" s="1"/>
  <c r="F621" i="1"/>
  <c r="G621" i="1" s="1"/>
  <c r="D621" i="1"/>
  <c r="E621" i="1" s="1"/>
  <c r="B621" i="1"/>
  <c r="C621" i="1" s="1"/>
  <c r="F620" i="1"/>
  <c r="G620" i="1" s="1"/>
  <c r="D620" i="1"/>
  <c r="E620" i="1" s="1"/>
  <c r="B620" i="1"/>
  <c r="C620" i="1" s="1"/>
  <c r="F619" i="1"/>
  <c r="G619" i="1" s="1"/>
  <c r="D619" i="1"/>
  <c r="E619" i="1" s="1"/>
  <c r="B619" i="1"/>
  <c r="C619" i="1" s="1"/>
  <c r="F618" i="1"/>
  <c r="G618" i="1" s="1"/>
  <c r="D618" i="1"/>
  <c r="E618" i="1" s="1"/>
  <c r="B618" i="1"/>
  <c r="C618" i="1" s="1"/>
  <c r="F617" i="1"/>
  <c r="G617" i="1" s="1"/>
  <c r="D617" i="1"/>
  <c r="E617" i="1" s="1"/>
  <c r="B617" i="1"/>
  <c r="C617" i="1" s="1"/>
  <c r="F616" i="1"/>
  <c r="G616" i="1" s="1"/>
  <c r="D616" i="1"/>
  <c r="E616" i="1" s="1"/>
  <c r="B616" i="1"/>
  <c r="C616" i="1" s="1"/>
  <c r="F615" i="1"/>
  <c r="G615" i="1" s="1"/>
  <c r="D615" i="1"/>
  <c r="E615" i="1" s="1"/>
  <c r="B615" i="1"/>
  <c r="C615" i="1" s="1"/>
  <c r="F614" i="1"/>
  <c r="G614" i="1" s="1"/>
  <c r="D614" i="1"/>
  <c r="E614" i="1" s="1"/>
  <c r="B614" i="1"/>
  <c r="C614" i="1" s="1"/>
  <c r="F613" i="1"/>
  <c r="G613" i="1" s="1"/>
  <c r="D613" i="1"/>
  <c r="E613" i="1" s="1"/>
  <c r="B613" i="1"/>
  <c r="C613" i="1" s="1"/>
  <c r="F612" i="1"/>
  <c r="G612" i="1" s="1"/>
  <c r="D612" i="1"/>
  <c r="E612" i="1" s="1"/>
  <c r="B612" i="1"/>
  <c r="C612" i="1" s="1"/>
  <c r="F611" i="1"/>
  <c r="G611" i="1" s="1"/>
  <c r="D611" i="1"/>
  <c r="E611" i="1" s="1"/>
  <c r="B611" i="1"/>
  <c r="C611" i="1" s="1"/>
  <c r="F610" i="1"/>
  <c r="G610" i="1" s="1"/>
  <c r="D610" i="1"/>
  <c r="E610" i="1" s="1"/>
  <c r="B610" i="1"/>
  <c r="C610" i="1" s="1"/>
  <c r="F609" i="1"/>
  <c r="G609" i="1" s="1"/>
  <c r="D609" i="1"/>
  <c r="E609" i="1" s="1"/>
  <c r="B609" i="1"/>
  <c r="C609" i="1" s="1"/>
  <c r="F608" i="1"/>
  <c r="G608" i="1" s="1"/>
  <c r="D608" i="1"/>
  <c r="E608" i="1" s="1"/>
  <c r="B608" i="1"/>
  <c r="C608" i="1" s="1"/>
  <c r="F607" i="1"/>
  <c r="G607" i="1" s="1"/>
  <c r="D607" i="1"/>
  <c r="E607" i="1" s="1"/>
  <c r="B607" i="1"/>
  <c r="C607" i="1" s="1"/>
  <c r="F606" i="1"/>
  <c r="G606" i="1" s="1"/>
  <c r="D606" i="1"/>
  <c r="E606" i="1" s="1"/>
  <c r="B606" i="1"/>
  <c r="C606" i="1" s="1"/>
  <c r="F605" i="1"/>
  <c r="G605" i="1" s="1"/>
  <c r="D605" i="1"/>
  <c r="E605" i="1" s="1"/>
  <c r="B605" i="1"/>
  <c r="C605" i="1" s="1"/>
  <c r="F604" i="1"/>
  <c r="G604" i="1" s="1"/>
  <c r="D604" i="1"/>
  <c r="E604" i="1" s="1"/>
  <c r="B604" i="1"/>
  <c r="C604" i="1" s="1"/>
  <c r="F603" i="1"/>
  <c r="G603" i="1" s="1"/>
  <c r="D603" i="1"/>
  <c r="E603" i="1" s="1"/>
  <c r="B603" i="1"/>
  <c r="C603" i="1" s="1"/>
  <c r="F602" i="1"/>
  <c r="G602" i="1" s="1"/>
  <c r="D602" i="1"/>
  <c r="E602" i="1" s="1"/>
  <c r="B602" i="1"/>
  <c r="C602" i="1" s="1"/>
  <c r="F601" i="1"/>
  <c r="G601" i="1" s="1"/>
  <c r="D601" i="1"/>
  <c r="E601" i="1" s="1"/>
  <c r="B601" i="1"/>
  <c r="C601" i="1" s="1"/>
  <c r="F600" i="1"/>
  <c r="G600" i="1" s="1"/>
  <c r="D600" i="1"/>
  <c r="E600" i="1" s="1"/>
  <c r="B600" i="1"/>
  <c r="C600" i="1" s="1"/>
  <c r="F599" i="1"/>
  <c r="G599" i="1" s="1"/>
  <c r="D599" i="1"/>
  <c r="E599" i="1" s="1"/>
  <c r="B599" i="1"/>
  <c r="C599" i="1" s="1"/>
  <c r="F598" i="1"/>
  <c r="G598" i="1" s="1"/>
  <c r="D598" i="1"/>
  <c r="E598" i="1" s="1"/>
  <c r="B598" i="1"/>
  <c r="C598" i="1" s="1"/>
  <c r="F597" i="1"/>
  <c r="G597" i="1" s="1"/>
  <c r="D597" i="1"/>
  <c r="E597" i="1" s="1"/>
  <c r="B597" i="1"/>
  <c r="C597" i="1" s="1"/>
  <c r="F596" i="1"/>
  <c r="G596" i="1" s="1"/>
  <c r="D596" i="1"/>
  <c r="E596" i="1" s="1"/>
  <c r="B596" i="1"/>
  <c r="C596" i="1" s="1"/>
  <c r="F595" i="1"/>
  <c r="G595" i="1" s="1"/>
  <c r="D595" i="1"/>
  <c r="E595" i="1" s="1"/>
  <c r="B595" i="1"/>
  <c r="C595" i="1" s="1"/>
  <c r="F594" i="1"/>
  <c r="G594" i="1" s="1"/>
  <c r="D594" i="1"/>
  <c r="E594" i="1" s="1"/>
  <c r="B594" i="1"/>
  <c r="C594" i="1" s="1"/>
  <c r="F593" i="1"/>
  <c r="G593" i="1" s="1"/>
  <c r="D593" i="1"/>
  <c r="E593" i="1" s="1"/>
  <c r="B593" i="1"/>
  <c r="C593" i="1" s="1"/>
  <c r="F592" i="1"/>
  <c r="G592" i="1" s="1"/>
  <c r="D592" i="1"/>
  <c r="B592" i="1"/>
  <c r="C592" i="1" s="1"/>
  <c r="F591" i="1"/>
  <c r="G591" i="1" s="1"/>
  <c r="D591" i="1"/>
  <c r="E591" i="1" s="1"/>
  <c r="B591" i="1"/>
  <c r="C591" i="1" s="1"/>
  <c r="F590" i="1"/>
  <c r="G590" i="1" s="1"/>
  <c r="D590" i="1"/>
  <c r="E590" i="1" s="1"/>
  <c r="B590" i="1"/>
  <c r="C590" i="1" s="1"/>
  <c r="F589" i="1"/>
  <c r="G589" i="1" s="1"/>
  <c r="D589" i="1"/>
  <c r="E589" i="1" s="1"/>
  <c r="B589" i="1"/>
  <c r="C589" i="1" s="1"/>
  <c r="F588" i="1"/>
  <c r="G588" i="1" s="1"/>
  <c r="D588" i="1"/>
  <c r="B588" i="1"/>
  <c r="C588" i="1" s="1"/>
  <c r="F587" i="1"/>
  <c r="G587" i="1" s="1"/>
  <c r="D587" i="1"/>
  <c r="E587" i="1" s="1"/>
  <c r="B587" i="1"/>
  <c r="C587" i="1" s="1"/>
  <c r="F586" i="1"/>
  <c r="G586" i="1" s="1"/>
  <c r="D586" i="1"/>
  <c r="E586" i="1" s="1"/>
  <c r="B586" i="1"/>
  <c r="C586" i="1" s="1"/>
  <c r="F585" i="1"/>
  <c r="G585" i="1" s="1"/>
  <c r="D585" i="1"/>
  <c r="E585" i="1" s="1"/>
  <c r="B585" i="1"/>
  <c r="C585" i="1" s="1"/>
  <c r="F584" i="1"/>
  <c r="G584" i="1" s="1"/>
  <c r="D584" i="1"/>
  <c r="E584" i="1" s="1"/>
  <c r="B584" i="1"/>
  <c r="C584" i="1" s="1"/>
  <c r="F583" i="1"/>
  <c r="G583" i="1" s="1"/>
  <c r="D583" i="1"/>
  <c r="E583" i="1" s="1"/>
  <c r="B583" i="1"/>
  <c r="C583" i="1" s="1"/>
  <c r="F582" i="1"/>
  <c r="G582" i="1" s="1"/>
  <c r="D582" i="1"/>
  <c r="E582" i="1" s="1"/>
  <c r="B582" i="1"/>
  <c r="C582" i="1" s="1"/>
  <c r="F581" i="1"/>
  <c r="G581" i="1" s="1"/>
  <c r="D581" i="1"/>
  <c r="E581" i="1" s="1"/>
  <c r="B581" i="1"/>
  <c r="C581" i="1" s="1"/>
  <c r="F580" i="1"/>
  <c r="G580" i="1" s="1"/>
  <c r="D580" i="1"/>
  <c r="E580" i="1" s="1"/>
  <c r="B580" i="1"/>
  <c r="C580" i="1" s="1"/>
  <c r="F579" i="1"/>
  <c r="G579" i="1" s="1"/>
  <c r="D579" i="1"/>
  <c r="E579" i="1" s="1"/>
  <c r="B579" i="1"/>
  <c r="C579" i="1" s="1"/>
  <c r="F578" i="1"/>
  <c r="G578" i="1" s="1"/>
  <c r="D578" i="1"/>
  <c r="B578" i="1"/>
  <c r="C578" i="1" s="1"/>
  <c r="F577" i="1"/>
  <c r="G577" i="1" s="1"/>
  <c r="D577" i="1"/>
  <c r="E577" i="1" s="1"/>
  <c r="B577" i="1"/>
  <c r="C577" i="1" s="1"/>
  <c r="F576" i="1"/>
  <c r="G576" i="1" s="1"/>
  <c r="D576" i="1"/>
  <c r="E576" i="1" s="1"/>
  <c r="B576" i="1"/>
  <c r="C576" i="1" s="1"/>
  <c r="F575" i="1"/>
  <c r="G575" i="1" s="1"/>
  <c r="D575" i="1"/>
  <c r="E575" i="1" s="1"/>
  <c r="B575" i="1"/>
  <c r="C575" i="1" s="1"/>
  <c r="F574" i="1"/>
  <c r="G574" i="1" s="1"/>
  <c r="D574" i="1"/>
  <c r="E574" i="1" s="1"/>
  <c r="B574" i="1"/>
  <c r="C574" i="1" s="1"/>
  <c r="F573" i="1"/>
  <c r="G573" i="1" s="1"/>
  <c r="D573" i="1"/>
  <c r="E573" i="1" s="1"/>
  <c r="B573" i="1"/>
  <c r="C573" i="1" s="1"/>
  <c r="F572" i="1"/>
  <c r="G572" i="1" s="1"/>
  <c r="D572" i="1"/>
  <c r="E572" i="1" s="1"/>
  <c r="B572" i="1"/>
  <c r="C572" i="1" s="1"/>
  <c r="F571" i="1"/>
  <c r="G571" i="1" s="1"/>
  <c r="D571" i="1"/>
  <c r="E571" i="1" s="1"/>
  <c r="B571" i="1"/>
  <c r="C571" i="1" s="1"/>
  <c r="F570" i="1"/>
  <c r="G570" i="1" s="1"/>
  <c r="D570" i="1"/>
  <c r="E570" i="1" s="1"/>
  <c r="B570" i="1"/>
  <c r="C570" i="1" s="1"/>
  <c r="F569" i="1"/>
  <c r="G569" i="1" s="1"/>
  <c r="D569" i="1"/>
  <c r="E569" i="1" s="1"/>
  <c r="B569" i="1"/>
  <c r="C569" i="1" s="1"/>
  <c r="F568" i="1"/>
  <c r="G568" i="1" s="1"/>
  <c r="D568" i="1"/>
  <c r="E568" i="1" s="1"/>
  <c r="B568" i="1"/>
  <c r="C568" i="1" s="1"/>
  <c r="F567" i="1"/>
  <c r="G567" i="1" s="1"/>
  <c r="D567" i="1"/>
  <c r="E567" i="1" s="1"/>
  <c r="B567" i="1"/>
  <c r="C567" i="1" s="1"/>
  <c r="F566" i="1"/>
  <c r="G566" i="1" s="1"/>
  <c r="D566" i="1"/>
  <c r="E566" i="1" s="1"/>
  <c r="B566" i="1"/>
  <c r="C566" i="1" s="1"/>
  <c r="F565" i="1"/>
  <c r="G565" i="1" s="1"/>
  <c r="D565" i="1"/>
  <c r="E565" i="1" s="1"/>
  <c r="B565" i="1"/>
  <c r="C565" i="1" s="1"/>
  <c r="F564" i="1"/>
  <c r="G564" i="1" s="1"/>
  <c r="D564" i="1"/>
  <c r="E564" i="1" s="1"/>
  <c r="B564" i="1"/>
  <c r="C564" i="1" s="1"/>
  <c r="F563" i="1"/>
  <c r="G563" i="1" s="1"/>
  <c r="D563" i="1"/>
  <c r="B563" i="1"/>
  <c r="C563" i="1" s="1"/>
  <c r="F562" i="1"/>
  <c r="G562" i="1" s="1"/>
  <c r="D562" i="1"/>
  <c r="E562" i="1" s="1"/>
  <c r="B562" i="1"/>
  <c r="C562" i="1" s="1"/>
  <c r="F561" i="1"/>
  <c r="G561" i="1" s="1"/>
  <c r="D561" i="1"/>
  <c r="E561" i="1" s="1"/>
  <c r="B561" i="1"/>
  <c r="C561" i="1" s="1"/>
  <c r="F560" i="1"/>
  <c r="G560" i="1" s="1"/>
  <c r="D560" i="1"/>
  <c r="B560" i="1"/>
  <c r="C560" i="1" s="1"/>
  <c r="F559" i="1"/>
  <c r="G559" i="1" s="1"/>
  <c r="D559" i="1"/>
  <c r="E559" i="1" s="1"/>
  <c r="B559" i="1"/>
  <c r="C559" i="1" s="1"/>
  <c r="F558" i="1"/>
  <c r="G558" i="1" s="1"/>
  <c r="D558" i="1"/>
  <c r="E558" i="1" s="1"/>
  <c r="B558" i="1"/>
  <c r="C558" i="1" s="1"/>
  <c r="F557" i="1"/>
  <c r="G557" i="1" s="1"/>
  <c r="D557" i="1"/>
  <c r="E557" i="1" s="1"/>
  <c r="B557" i="1"/>
  <c r="C557" i="1" s="1"/>
  <c r="F556" i="1"/>
  <c r="G556" i="1" s="1"/>
  <c r="D556" i="1"/>
  <c r="E556" i="1" s="1"/>
  <c r="B556" i="1"/>
  <c r="C556" i="1" s="1"/>
  <c r="F555" i="1"/>
  <c r="G555" i="1" s="1"/>
  <c r="D555" i="1"/>
  <c r="E555" i="1" s="1"/>
  <c r="B555" i="1"/>
  <c r="C555" i="1" s="1"/>
  <c r="F554" i="1"/>
  <c r="G554" i="1" s="1"/>
  <c r="D554" i="1"/>
  <c r="E554" i="1" s="1"/>
  <c r="B554" i="1"/>
  <c r="C554" i="1" s="1"/>
  <c r="F553" i="1"/>
  <c r="G553" i="1" s="1"/>
  <c r="D553" i="1"/>
  <c r="E553" i="1" s="1"/>
  <c r="B553" i="1"/>
  <c r="C553" i="1" s="1"/>
  <c r="F552" i="1"/>
  <c r="G552" i="1" s="1"/>
  <c r="D552" i="1"/>
  <c r="E552" i="1" s="1"/>
  <c r="B552" i="1"/>
  <c r="C552" i="1" s="1"/>
  <c r="F551" i="1"/>
  <c r="G551" i="1" s="1"/>
  <c r="D551" i="1"/>
  <c r="E551" i="1" s="1"/>
  <c r="B551" i="1"/>
  <c r="C551" i="1" s="1"/>
  <c r="F550" i="1"/>
  <c r="G550" i="1" s="1"/>
  <c r="D550" i="1"/>
  <c r="E550" i="1" s="1"/>
  <c r="B550" i="1"/>
  <c r="C550" i="1" s="1"/>
  <c r="F549" i="1"/>
  <c r="G549" i="1" s="1"/>
  <c r="D549" i="1"/>
  <c r="E549" i="1" s="1"/>
  <c r="B549" i="1"/>
  <c r="C549" i="1" s="1"/>
  <c r="F548" i="1"/>
  <c r="G548" i="1" s="1"/>
  <c r="D548" i="1"/>
  <c r="E548" i="1" s="1"/>
  <c r="B548" i="1"/>
  <c r="C548" i="1" s="1"/>
  <c r="F547" i="1"/>
  <c r="G547" i="1" s="1"/>
  <c r="D547" i="1"/>
  <c r="E547" i="1" s="1"/>
  <c r="B547" i="1"/>
  <c r="C547" i="1" s="1"/>
  <c r="F546" i="1"/>
  <c r="G546" i="1" s="1"/>
  <c r="D546" i="1"/>
  <c r="E546" i="1" s="1"/>
  <c r="B546" i="1"/>
  <c r="C546" i="1" s="1"/>
  <c r="F545" i="1"/>
  <c r="G545" i="1" s="1"/>
  <c r="D545" i="1"/>
  <c r="E545" i="1" s="1"/>
  <c r="B545" i="1"/>
  <c r="C545" i="1" s="1"/>
  <c r="F544" i="1"/>
  <c r="G544" i="1" s="1"/>
  <c r="D544" i="1"/>
  <c r="E544" i="1" s="1"/>
  <c r="B544" i="1"/>
  <c r="C544" i="1" s="1"/>
  <c r="F543" i="1"/>
  <c r="G543" i="1" s="1"/>
  <c r="D543" i="1"/>
  <c r="E543" i="1" s="1"/>
  <c r="B543" i="1"/>
  <c r="C543" i="1" s="1"/>
  <c r="F542" i="1"/>
  <c r="G542" i="1" s="1"/>
  <c r="D542" i="1"/>
  <c r="E542" i="1" s="1"/>
  <c r="B542" i="1"/>
  <c r="C542" i="1" s="1"/>
  <c r="F541" i="1"/>
  <c r="G541" i="1" s="1"/>
  <c r="D541" i="1"/>
  <c r="B541" i="1"/>
  <c r="C541" i="1" s="1"/>
  <c r="F540" i="1"/>
  <c r="G540" i="1" s="1"/>
  <c r="D540" i="1"/>
  <c r="E540" i="1" s="1"/>
  <c r="B540" i="1"/>
  <c r="C540" i="1" s="1"/>
  <c r="F539" i="1"/>
  <c r="G539" i="1" s="1"/>
  <c r="D539" i="1"/>
  <c r="E539" i="1" s="1"/>
  <c r="B539" i="1"/>
  <c r="C539" i="1" s="1"/>
  <c r="F538" i="1"/>
  <c r="G538" i="1" s="1"/>
  <c r="D538" i="1"/>
  <c r="E538" i="1" s="1"/>
  <c r="B538" i="1"/>
  <c r="C538" i="1" s="1"/>
  <c r="F537" i="1"/>
  <c r="G537" i="1" s="1"/>
  <c r="D537" i="1"/>
  <c r="E537" i="1" s="1"/>
  <c r="B537" i="1"/>
  <c r="C537" i="1" s="1"/>
  <c r="F536" i="1"/>
  <c r="G536" i="1" s="1"/>
  <c r="D536" i="1"/>
  <c r="E536" i="1" s="1"/>
  <c r="B536" i="1"/>
  <c r="C536" i="1" s="1"/>
  <c r="F535" i="1"/>
  <c r="G535" i="1" s="1"/>
  <c r="D535" i="1"/>
  <c r="E535" i="1" s="1"/>
  <c r="B535" i="1"/>
  <c r="C535" i="1" s="1"/>
  <c r="F534" i="1"/>
  <c r="G534" i="1" s="1"/>
  <c r="D534" i="1"/>
  <c r="E534" i="1" s="1"/>
  <c r="B534" i="1"/>
  <c r="C534" i="1" s="1"/>
  <c r="F533" i="1"/>
  <c r="G533" i="1" s="1"/>
  <c r="D533" i="1"/>
  <c r="E533" i="1" s="1"/>
  <c r="B533" i="1"/>
  <c r="C533" i="1" s="1"/>
  <c r="F532" i="1"/>
  <c r="G532" i="1" s="1"/>
  <c r="D532" i="1"/>
  <c r="E532" i="1" s="1"/>
  <c r="B532" i="1"/>
  <c r="C532" i="1" s="1"/>
  <c r="F531" i="1"/>
  <c r="G531" i="1" s="1"/>
  <c r="D531" i="1"/>
  <c r="E531" i="1" s="1"/>
  <c r="B531" i="1"/>
  <c r="C531" i="1" s="1"/>
  <c r="F530" i="1"/>
  <c r="G530" i="1" s="1"/>
  <c r="D530" i="1"/>
  <c r="E530" i="1" s="1"/>
  <c r="B530" i="1"/>
  <c r="C530" i="1" s="1"/>
  <c r="F529" i="1"/>
  <c r="G529" i="1" s="1"/>
  <c r="D529" i="1"/>
  <c r="E529" i="1" s="1"/>
  <c r="B529" i="1"/>
  <c r="C529" i="1" s="1"/>
  <c r="F528" i="1"/>
  <c r="G528" i="1" s="1"/>
  <c r="D528" i="1"/>
  <c r="E528" i="1" s="1"/>
  <c r="B528" i="1"/>
  <c r="C528" i="1" s="1"/>
  <c r="F527" i="1"/>
  <c r="G527" i="1" s="1"/>
  <c r="D527" i="1"/>
  <c r="E527" i="1" s="1"/>
  <c r="B527" i="1"/>
  <c r="C527" i="1" s="1"/>
  <c r="F526" i="1"/>
  <c r="G526" i="1" s="1"/>
  <c r="D526" i="1"/>
  <c r="E526" i="1" s="1"/>
  <c r="B526" i="1"/>
  <c r="C526" i="1" s="1"/>
  <c r="F525" i="1"/>
  <c r="G525" i="1" s="1"/>
  <c r="D525" i="1"/>
  <c r="E525" i="1" s="1"/>
  <c r="B525" i="1"/>
  <c r="C525" i="1" s="1"/>
  <c r="F524" i="1"/>
  <c r="G524" i="1" s="1"/>
  <c r="D524" i="1"/>
  <c r="E524" i="1" s="1"/>
  <c r="B524" i="1"/>
  <c r="C524" i="1" s="1"/>
  <c r="F523" i="1"/>
  <c r="G523" i="1" s="1"/>
  <c r="D523" i="1"/>
  <c r="E523" i="1" s="1"/>
  <c r="B523" i="1"/>
  <c r="C523" i="1" s="1"/>
  <c r="F522" i="1"/>
  <c r="G522" i="1" s="1"/>
  <c r="D522" i="1"/>
  <c r="E522" i="1" s="1"/>
  <c r="B522" i="1"/>
  <c r="C522" i="1" s="1"/>
  <c r="F521" i="1"/>
  <c r="G521" i="1" s="1"/>
  <c r="D521" i="1"/>
  <c r="E521" i="1" s="1"/>
  <c r="B521" i="1"/>
  <c r="C521" i="1" s="1"/>
  <c r="F520" i="1"/>
  <c r="G520" i="1" s="1"/>
  <c r="D520" i="1"/>
  <c r="E520" i="1" s="1"/>
  <c r="B520" i="1"/>
  <c r="C520" i="1" s="1"/>
  <c r="F519" i="1"/>
  <c r="G519" i="1" s="1"/>
  <c r="D519" i="1"/>
  <c r="E519" i="1" s="1"/>
  <c r="B519" i="1"/>
  <c r="C519" i="1" s="1"/>
  <c r="F518" i="1"/>
  <c r="G518" i="1" s="1"/>
  <c r="D518" i="1"/>
  <c r="E518" i="1" s="1"/>
  <c r="B518" i="1"/>
  <c r="C518" i="1" s="1"/>
  <c r="F517" i="1"/>
  <c r="G517" i="1" s="1"/>
  <c r="D517" i="1"/>
  <c r="E517" i="1" s="1"/>
  <c r="B517" i="1"/>
  <c r="C517" i="1" s="1"/>
  <c r="F516" i="1"/>
  <c r="G516" i="1" s="1"/>
  <c r="D516" i="1"/>
  <c r="E516" i="1" s="1"/>
  <c r="B516" i="1"/>
  <c r="C516" i="1" s="1"/>
  <c r="F515" i="1"/>
  <c r="G515" i="1" s="1"/>
  <c r="D515" i="1"/>
  <c r="E515" i="1" s="1"/>
  <c r="B515" i="1"/>
  <c r="C515" i="1" s="1"/>
  <c r="F514" i="1"/>
  <c r="G514" i="1" s="1"/>
  <c r="D514" i="1"/>
  <c r="E514" i="1" s="1"/>
  <c r="B514" i="1"/>
  <c r="C514" i="1" s="1"/>
  <c r="F513" i="1"/>
  <c r="G513" i="1" s="1"/>
  <c r="D513" i="1"/>
  <c r="E513" i="1" s="1"/>
  <c r="B513" i="1"/>
  <c r="C513" i="1" s="1"/>
  <c r="F512" i="1"/>
  <c r="G512" i="1" s="1"/>
  <c r="D512" i="1"/>
  <c r="E512" i="1" s="1"/>
  <c r="B512" i="1"/>
  <c r="C512" i="1" s="1"/>
  <c r="F511" i="1"/>
  <c r="G511" i="1" s="1"/>
  <c r="D511" i="1"/>
  <c r="E511" i="1" s="1"/>
  <c r="B511" i="1"/>
  <c r="C511" i="1" s="1"/>
  <c r="F510" i="1"/>
  <c r="G510" i="1" s="1"/>
  <c r="D510" i="1"/>
  <c r="E510" i="1" s="1"/>
  <c r="B510" i="1"/>
  <c r="C510" i="1" s="1"/>
  <c r="F509" i="1"/>
  <c r="G509" i="1" s="1"/>
  <c r="D509" i="1"/>
  <c r="E509" i="1" s="1"/>
  <c r="B509" i="1"/>
  <c r="C509" i="1" s="1"/>
  <c r="F508" i="1"/>
  <c r="G508" i="1" s="1"/>
  <c r="D508" i="1"/>
  <c r="E508" i="1" s="1"/>
  <c r="B508" i="1"/>
  <c r="C508" i="1" s="1"/>
  <c r="F507" i="1"/>
  <c r="G507" i="1" s="1"/>
  <c r="D507" i="1"/>
  <c r="E507" i="1" s="1"/>
  <c r="B507" i="1"/>
  <c r="C507" i="1" s="1"/>
  <c r="F506" i="1"/>
  <c r="G506" i="1" s="1"/>
  <c r="D506" i="1"/>
  <c r="E506" i="1" s="1"/>
  <c r="B506" i="1"/>
  <c r="C506" i="1" s="1"/>
  <c r="F505" i="1"/>
  <c r="G505" i="1" s="1"/>
  <c r="D505" i="1"/>
  <c r="E505" i="1" s="1"/>
  <c r="B505" i="1"/>
  <c r="C505" i="1" s="1"/>
  <c r="F504" i="1"/>
  <c r="G504" i="1" s="1"/>
  <c r="D504" i="1"/>
  <c r="E504" i="1" s="1"/>
  <c r="B504" i="1"/>
  <c r="C504" i="1" s="1"/>
  <c r="F503" i="1"/>
  <c r="G503" i="1" s="1"/>
  <c r="D503" i="1"/>
  <c r="E503" i="1" s="1"/>
  <c r="B503" i="1"/>
  <c r="C503" i="1" s="1"/>
  <c r="F502" i="1"/>
  <c r="G502" i="1" s="1"/>
  <c r="D502" i="1"/>
  <c r="E502" i="1" s="1"/>
  <c r="B502" i="1"/>
  <c r="C502" i="1" s="1"/>
  <c r="F501" i="1"/>
  <c r="G501" i="1" s="1"/>
  <c r="D501" i="1"/>
  <c r="E501" i="1" s="1"/>
  <c r="B501" i="1"/>
  <c r="C501" i="1" s="1"/>
  <c r="F500" i="1"/>
  <c r="G500" i="1" s="1"/>
  <c r="D500" i="1"/>
  <c r="E500" i="1" s="1"/>
  <c r="B500" i="1"/>
  <c r="C500" i="1" s="1"/>
  <c r="F499" i="1"/>
  <c r="G499" i="1" s="1"/>
  <c r="D499" i="1"/>
  <c r="E499" i="1" s="1"/>
  <c r="B499" i="1"/>
  <c r="C499" i="1" s="1"/>
  <c r="F498" i="1"/>
  <c r="G498" i="1" s="1"/>
  <c r="D498" i="1"/>
  <c r="E498" i="1" s="1"/>
  <c r="B498" i="1"/>
  <c r="C498" i="1" s="1"/>
  <c r="F497" i="1"/>
  <c r="G497" i="1" s="1"/>
  <c r="D497" i="1"/>
  <c r="E497" i="1" s="1"/>
  <c r="B497" i="1"/>
  <c r="C497" i="1" s="1"/>
  <c r="F496" i="1"/>
  <c r="G496" i="1" s="1"/>
  <c r="D496" i="1"/>
  <c r="E496" i="1" s="1"/>
  <c r="B496" i="1"/>
  <c r="C496" i="1" s="1"/>
  <c r="F495" i="1"/>
  <c r="G495" i="1" s="1"/>
  <c r="D495" i="1"/>
  <c r="E495" i="1" s="1"/>
  <c r="B495" i="1"/>
  <c r="C495" i="1" s="1"/>
  <c r="F494" i="1"/>
  <c r="G494" i="1" s="1"/>
  <c r="D494" i="1"/>
  <c r="E494" i="1" s="1"/>
  <c r="B494" i="1"/>
  <c r="C494" i="1" s="1"/>
  <c r="F493" i="1"/>
  <c r="G493" i="1" s="1"/>
  <c r="D493" i="1"/>
  <c r="E493" i="1" s="1"/>
  <c r="B493" i="1"/>
  <c r="C493" i="1" s="1"/>
  <c r="F492" i="1"/>
  <c r="G492" i="1" s="1"/>
  <c r="D492" i="1"/>
  <c r="E492" i="1" s="1"/>
  <c r="B492" i="1"/>
  <c r="C492" i="1" s="1"/>
  <c r="F491" i="1"/>
  <c r="G491" i="1" s="1"/>
  <c r="D491" i="1"/>
  <c r="E491" i="1" s="1"/>
  <c r="B491" i="1"/>
  <c r="C491" i="1" s="1"/>
  <c r="F490" i="1"/>
  <c r="G490" i="1" s="1"/>
  <c r="D490" i="1"/>
  <c r="E490" i="1" s="1"/>
  <c r="B490" i="1"/>
  <c r="C490" i="1" s="1"/>
  <c r="F489" i="1"/>
  <c r="G489" i="1" s="1"/>
  <c r="D489" i="1"/>
  <c r="E489" i="1" s="1"/>
  <c r="B489" i="1"/>
  <c r="C489" i="1" s="1"/>
  <c r="F488" i="1"/>
  <c r="G488" i="1" s="1"/>
  <c r="D488" i="1"/>
  <c r="E488" i="1" s="1"/>
  <c r="B488" i="1"/>
  <c r="C488" i="1" s="1"/>
  <c r="F487" i="1"/>
  <c r="G487" i="1" s="1"/>
  <c r="D487" i="1"/>
  <c r="E487" i="1" s="1"/>
  <c r="B487" i="1"/>
  <c r="C487" i="1" s="1"/>
  <c r="F486" i="1"/>
  <c r="G486" i="1" s="1"/>
  <c r="D486" i="1"/>
  <c r="E486" i="1" s="1"/>
  <c r="B486" i="1"/>
  <c r="C486" i="1" s="1"/>
  <c r="F485" i="1"/>
  <c r="G485" i="1" s="1"/>
  <c r="D485" i="1"/>
  <c r="E485" i="1" s="1"/>
  <c r="B485" i="1"/>
  <c r="C485" i="1" s="1"/>
  <c r="F484" i="1"/>
  <c r="G484" i="1" s="1"/>
  <c r="D484" i="1"/>
  <c r="E484" i="1" s="1"/>
  <c r="B484" i="1"/>
  <c r="C484" i="1" s="1"/>
  <c r="F483" i="1"/>
  <c r="G483" i="1" s="1"/>
  <c r="D483" i="1"/>
  <c r="E483" i="1" s="1"/>
  <c r="B483" i="1"/>
  <c r="C483" i="1" s="1"/>
  <c r="F482" i="1"/>
  <c r="G482" i="1" s="1"/>
  <c r="D482" i="1"/>
  <c r="E482" i="1" s="1"/>
  <c r="B482" i="1"/>
  <c r="C482" i="1" s="1"/>
  <c r="F481" i="1"/>
  <c r="G481" i="1" s="1"/>
  <c r="D481" i="1"/>
  <c r="E481" i="1" s="1"/>
  <c r="B481" i="1"/>
  <c r="C481" i="1" s="1"/>
  <c r="F480" i="1"/>
  <c r="G480" i="1" s="1"/>
  <c r="D480" i="1"/>
  <c r="E480" i="1" s="1"/>
  <c r="B480" i="1"/>
  <c r="C480" i="1" s="1"/>
  <c r="F479" i="1"/>
  <c r="G479" i="1" s="1"/>
  <c r="D479" i="1"/>
  <c r="E479" i="1" s="1"/>
  <c r="B479" i="1"/>
  <c r="C479" i="1" s="1"/>
  <c r="F478" i="1"/>
  <c r="G478" i="1" s="1"/>
  <c r="D478" i="1"/>
  <c r="B478" i="1"/>
  <c r="C478" i="1" s="1"/>
  <c r="F477" i="1"/>
  <c r="G477" i="1" s="1"/>
  <c r="D477" i="1"/>
  <c r="E477" i="1" s="1"/>
  <c r="B477" i="1"/>
  <c r="C477" i="1" s="1"/>
  <c r="F476" i="1"/>
  <c r="G476" i="1" s="1"/>
  <c r="D476" i="1"/>
  <c r="E476" i="1" s="1"/>
  <c r="B476" i="1"/>
  <c r="C476" i="1" s="1"/>
  <c r="F475" i="1"/>
  <c r="G475" i="1" s="1"/>
  <c r="D475" i="1"/>
  <c r="E475" i="1" s="1"/>
  <c r="B475" i="1"/>
  <c r="C475" i="1" s="1"/>
  <c r="F474" i="1"/>
  <c r="G474" i="1" s="1"/>
  <c r="D474" i="1"/>
  <c r="E474" i="1" s="1"/>
  <c r="B474" i="1"/>
  <c r="C474" i="1" s="1"/>
  <c r="F473" i="1"/>
  <c r="G473" i="1" s="1"/>
  <c r="D473" i="1"/>
  <c r="E473" i="1" s="1"/>
  <c r="B473" i="1"/>
  <c r="C473" i="1" s="1"/>
  <c r="F472" i="1"/>
  <c r="G472" i="1" s="1"/>
  <c r="D472" i="1"/>
  <c r="E472" i="1" s="1"/>
  <c r="B472" i="1"/>
  <c r="C472" i="1" s="1"/>
  <c r="F471" i="1"/>
  <c r="G471" i="1" s="1"/>
  <c r="D471" i="1"/>
  <c r="E471" i="1" s="1"/>
  <c r="B471" i="1"/>
  <c r="C471" i="1" s="1"/>
  <c r="F470" i="1"/>
  <c r="G470" i="1" s="1"/>
  <c r="D470" i="1"/>
  <c r="E470" i="1" s="1"/>
  <c r="B470" i="1"/>
  <c r="C470" i="1" s="1"/>
  <c r="F469" i="1"/>
  <c r="G469" i="1" s="1"/>
  <c r="D469" i="1"/>
  <c r="E469" i="1" s="1"/>
  <c r="B469" i="1"/>
  <c r="C469" i="1" s="1"/>
  <c r="F468" i="1"/>
  <c r="G468" i="1" s="1"/>
  <c r="D468" i="1"/>
  <c r="E468" i="1" s="1"/>
  <c r="B468" i="1"/>
  <c r="C468" i="1" s="1"/>
  <c r="F467" i="1"/>
  <c r="G467" i="1" s="1"/>
  <c r="D467" i="1"/>
  <c r="E467" i="1" s="1"/>
  <c r="B467" i="1"/>
  <c r="C467" i="1" s="1"/>
  <c r="F466" i="1"/>
  <c r="G466" i="1" s="1"/>
  <c r="D466" i="1"/>
  <c r="E466" i="1" s="1"/>
  <c r="B466" i="1"/>
  <c r="C466" i="1" s="1"/>
  <c r="F465" i="1"/>
  <c r="G465" i="1" s="1"/>
  <c r="D465" i="1"/>
  <c r="E465" i="1" s="1"/>
  <c r="B465" i="1"/>
  <c r="C465" i="1" s="1"/>
  <c r="F464" i="1"/>
  <c r="G464" i="1" s="1"/>
  <c r="D464" i="1"/>
  <c r="E464" i="1" s="1"/>
  <c r="B464" i="1"/>
  <c r="C464" i="1" s="1"/>
  <c r="F463" i="1"/>
  <c r="G463" i="1" s="1"/>
  <c r="D463" i="1"/>
  <c r="E463" i="1" s="1"/>
  <c r="B463" i="1"/>
  <c r="C463" i="1" s="1"/>
  <c r="F462" i="1"/>
  <c r="G462" i="1" s="1"/>
  <c r="D462" i="1"/>
  <c r="E462" i="1" s="1"/>
  <c r="B462" i="1"/>
  <c r="C462" i="1" s="1"/>
  <c r="F461" i="1"/>
  <c r="G461" i="1" s="1"/>
  <c r="D461" i="1"/>
  <c r="E461" i="1" s="1"/>
  <c r="B461" i="1"/>
  <c r="C461" i="1" s="1"/>
  <c r="F460" i="1"/>
  <c r="G460" i="1" s="1"/>
  <c r="D460" i="1"/>
  <c r="E460" i="1" s="1"/>
  <c r="B460" i="1"/>
  <c r="C460" i="1" s="1"/>
  <c r="F459" i="1"/>
  <c r="G459" i="1" s="1"/>
  <c r="D459" i="1"/>
  <c r="E459" i="1" s="1"/>
  <c r="B459" i="1"/>
  <c r="C459" i="1" s="1"/>
  <c r="F458" i="1"/>
  <c r="G458" i="1" s="1"/>
  <c r="D458" i="1"/>
  <c r="E458" i="1" s="1"/>
  <c r="B458" i="1"/>
  <c r="C458" i="1" s="1"/>
  <c r="F457" i="1"/>
  <c r="G457" i="1" s="1"/>
  <c r="D457" i="1"/>
  <c r="E457" i="1" s="1"/>
  <c r="B457" i="1"/>
  <c r="C457" i="1" s="1"/>
  <c r="F456" i="1"/>
  <c r="G456" i="1" s="1"/>
  <c r="D456" i="1"/>
  <c r="E456" i="1" s="1"/>
  <c r="B456" i="1"/>
  <c r="C456" i="1" s="1"/>
  <c r="F455" i="1"/>
  <c r="G455" i="1" s="1"/>
  <c r="D455" i="1"/>
  <c r="E455" i="1" s="1"/>
  <c r="B455" i="1"/>
  <c r="C455" i="1" s="1"/>
  <c r="F454" i="1"/>
  <c r="G454" i="1" s="1"/>
  <c r="D454" i="1"/>
  <c r="E454" i="1" s="1"/>
  <c r="B454" i="1"/>
  <c r="C454" i="1" s="1"/>
  <c r="F453" i="1"/>
  <c r="G453" i="1" s="1"/>
  <c r="D453" i="1"/>
  <c r="E453" i="1" s="1"/>
  <c r="B453" i="1"/>
  <c r="C453" i="1" s="1"/>
  <c r="F452" i="1"/>
  <c r="G452" i="1" s="1"/>
  <c r="D452" i="1"/>
  <c r="E452" i="1" s="1"/>
  <c r="B452" i="1"/>
  <c r="C452" i="1" s="1"/>
  <c r="F451" i="1"/>
  <c r="G451" i="1" s="1"/>
  <c r="D451" i="1"/>
  <c r="E451" i="1" s="1"/>
  <c r="B451" i="1"/>
  <c r="C451" i="1" s="1"/>
  <c r="F450" i="1"/>
  <c r="G450" i="1" s="1"/>
  <c r="D450" i="1"/>
  <c r="E450" i="1" s="1"/>
  <c r="B450" i="1"/>
  <c r="C450" i="1" s="1"/>
  <c r="F449" i="1"/>
  <c r="G449" i="1" s="1"/>
  <c r="D449" i="1"/>
  <c r="E449" i="1" s="1"/>
  <c r="B449" i="1"/>
  <c r="C449" i="1" s="1"/>
  <c r="F448" i="1"/>
  <c r="G448" i="1" s="1"/>
  <c r="D448" i="1"/>
  <c r="E448" i="1" s="1"/>
  <c r="B448" i="1"/>
  <c r="C448" i="1" s="1"/>
  <c r="F447" i="1"/>
  <c r="G447" i="1" s="1"/>
  <c r="D447" i="1"/>
  <c r="E447" i="1" s="1"/>
  <c r="B447" i="1"/>
  <c r="C447" i="1" s="1"/>
  <c r="F446" i="1"/>
  <c r="G446" i="1" s="1"/>
  <c r="D446" i="1"/>
  <c r="E446" i="1" s="1"/>
  <c r="B446" i="1"/>
  <c r="C446" i="1" s="1"/>
  <c r="F445" i="1"/>
  <c r="G445" i="1" s="1"/>
  <c r="D445" i="1"/>
  <c r="E445" i="1" s="1"/>
  <c r="B445" i="1"/>
  <c r="C445" i="1" s="1"/>
  <c r="F444" i="1"/>
  <c r="G444" i="1" s="1"/>
  <c r="D444" i="1"/>
  <c r="E444" i="1" s="1"/>
  <c r="B444" i="1"/>
  <c r="C444" i="1" s="1"/>
  <c r="F443" i="1"/>
  <c r="G443" i="1" s="1"/>
  <c r="D443" i="1"/>
  <c r="E443" i="1" s="1"/>
  <c r="B443" i="1"/>
  <c r="C443" i="1" s="1"/>
  <c r="F442" i="1"/>
  <c r="G442" i="1" s="1"/>
  <c r="D442" i="1"/>
  <c r="E442" i="1" s="1"/>
  <c r="B442" i="1"/>
  <c r="C442" i="1" s="1"/>
  <c r="F441" i="1"/>
  <c r="G441" i="1" s="1"/>
  <c r="D441" i="1"/>
  <c r="E441" i="1" s="1"/>
  <c r="B441" i="1"/>
  <c r="C441" i="1" s="1"/>
  <c r="F440" i="1"/>
  <c r="G440" i="1" s="1"/>
  <c r="D440" i="1"/>
  <c r="E440" i="1" s="1"/>
  <c r="B440" i="1"/>
  <c r="C440" i="1" s="1"/>
  <c r="F439" i="1"/>
  <c r="G439" i="1" s="1"/>
  <c r="D439" i="1"/>
  <c r="E439" i="1" s="1"/>
  <c r="B439" i="1"/>
  <c r="C439" i="1" s="1"/>
  <c r="F438" i="1"/>
  <c r="G438" i="1" s="1"/>
  <c r="D438" i="1"/>
  <c r="E438" i="1" s="1"/>
  <c r="B438" i="1"/>
  <c r="C438" i="1" s="1"/>
  <c r="F437" i="1"/>
  <c r="G437" i="1" s="1"/>
  <c r="D437" i="1"/>
  <c r="E437" i="1" s="1"/>
  <c r="B437" i="1"/>
  <c r="C437" i="1" s="1"/>
  <c r="F436" i="1"/>
  <c r="G436" i="1" s="1"/>
  <c r="D436" i="1"/>
  <c r="E436" i="1" s="1"/>
  <c r="B436" i="1"/>
  <c r="C436" i="1" s="1"/>
  <c r="F435" i="1"/>
  <c r="G435" i="1" s="1"/>
  <c r="D435" i="1"/>
  <c r="E435" i="1" s="1"/>
  <c r="B435" i="1"/>
  <c r="C435" i="1" s="1"/>
  <c r="F434" i="1"/>
  <c r="G434" i="1" s="1"/>
  <c r="D434" i="1"/>
  <c r="E434" i="1" s="1"/>
  <c r="B434" i="1"/>
  <c r="C434" i="1" s="1"/>
  <c r="F433" i="1"/>
  <c r="G433" i="1" s="1"/>
  <c r="D433" i="1"/>
  <c r="E433" i="1" s="1"/>
  <c r="B433" i="1"/>
  <c r="C433" i="1" s="1"/>
  <c r="F432" i="1"/>
  <c r="G432" i="1" s="1"/>
  <c r="D432" i="1"/>
  <c r="E432" i="1" s="1"/>
  <c r="B432" i="1"/>
  <c r="C432" i="1" s="1"/>
  <c r="F431" i="1"/>
  <c r="G431" i="1" s="1"/>
  <c r="D431" i="1"/>
  <c r="E431" i="1" s="1"/>
  <c r="B431" i="1"/>
  <c r="C431" i="1" s="1"/>
  <c r="F430" i="1"/>
  <c r="G430" i="1" s="1"/>
  <c r="D430" i="1"/>
  <c r="E430" i="1" s="1"/>
  <c r="B430" i="1"/>
  <c r="C430" i="1" s="1"/>
  <c r="F429" i="1"/>
  <c r="G429" i="1" s="1"/>
  <c r="D429" i="1"/>
  <c r="E429" i="1" s="1"/>
  <c r="B429" i="1"/>
  <c r="C429" i="1" s="1"/>
  <c r="F428" i="1"/>
  <c r="G428" i="1" s="1"/>
  <c r="D428" i="1"/>
  <c r="E428" i="1" s="1"/>
  <c r="B428" i="1"/>
  <c r="C428" i="1" s="1"/>
  <c r="F427" i="1"/>
  <c r="G427" i="1" s="1"/>
  <c r="D427" i="1"/>
  <c r="E427" i="1" s="1"/>
  <c r="B427" i="1"/>
  <c r="C427" i="1" s="1"/>
  <c r="F426" i="1"/>
  <c r="G426" i="1" s="1"/>
  <c r="D426" i="1"/>
  <c r="E426" i="1" s="1"/>
  <c r="B426" i="1"/>
  <c r="C426" i="1" s="1"/>
  <c r="F425" i="1"/>
  <c r="G425" i="1" s="1"/>
  <c r="D425" i="1"/>
  <c r="E425" i="1" s="1"/>
  <c r="B425" i="1"/>
  <c r="C425" i="1" s="1"/>
  <c r="F424" i="1"/>
  <c r="G424" i="1" s="1"/>
  <c r="D424" i="1"/>
  <c r="E424" i="1" s="1"/>
  <c r="B424" i="1"/>
  <c r="C424" i="1" s="1"/>
  <c r="F423" i="1"/>
  <c r="G423" i="1" s="1"/>
  <c r="D423" i="1"/>
  <c r="E423" i="1" s="1"/>
  <c r="B423" i="1"/>
  <c r="C423" i="1" s="1"/>
  <c r="F422" i="1"/>
  <c r="G422" i="1" s="1"/>
  <c r="D422" i="1"/>
  <c r="E422" i="1" s="1"/>
  <c r="B422" i="1"/>
  <c r="C422" i="1" s="1"/>
  <c r="F421" i="1"/>
  <c r="G421" i="1" s="1"/>
  <c r="D421" i="1"/>
  <c r="E421" i="1" s="1"/>
  <c r="B421" i="1"/>
  <c r="C421" i="1" s="1"/>
  <c r="F420" i="1"/>
  <c r="G420" i="1" s="1"/>
  <c r="D420" i="1"/>
  <c r="E420" i="1" s="1"/>
  <c r="B420" i="1"/>
  <c r="C420" i="1" s="1"/>
  <c r="F419" i="1"/>
  <c r="G419" i="1" s="1"/>
  <c r="D419" i="1"/>
  <c r="E419" i="1" s="1"/>
  <c r="B419" i="1"/>
  <c r="C419" i="1" s="1"/>
  <c r="F418" i="1"/>
  <c r="G418" i="1" s="1"/>
  <c r="D418" i="1"/>
  <c r="B418" i="1"/>
  <c r="C418" i="1" s="1"/>
  <c r="F417" i="1"/>
  <c r="G417" i="1" s="1"/>
  <c r="D417" i="1"/>
  <c r="B417" i="1"/>
  <c r="C417" i="1" s="1"/>
  <c r="F416" i="1"/>
  <c r="G416" i="1" s="1"/>
  <c r="D416" i="1"/>
  <c r="E416" i="1" s="1"/>
  <c r="B416" i="1"/>
  <c r="C416" i="1" s="1"/>
  <c r="F415" i="1"/>
  <c r="G415" i="1" s="1"/>
  <c r="D415" i="1"/>
  <c r="E415" i="1" s="1"/>
  <c r="B415" i="1"/>
  <c r="C415" i="1" s="1"/>
  <c r="F414" i="1"/>
  <c r="G414" i="1" s="1"/>
  <c r="D414" i="1"/>
  <c r="E414" i="1" s="1"/>
  <c r="B414" i="1"/>
  <c r="C414" i="1" s="1"/>
  <c r="F413" i="1"/>
  <c r="G413" i="1" s="1"/>
  <c r="D413" i="1"/>
  <c r="E413" i="1" s="1"/>
  <c r="B413" i="1"/>
  <c r="C413" i="1" s="1"/>
  <c r="F412" i="1"/>
  <c r="G412" i="1" s="1"/>
  <c r="D412" i="1"/>
  <c r="E412" i="1" s="1"/>
  <c r="B412" i="1"/>
  <c r="C412" i="1" s="1"/>
  <c r="F411" i="1"/>
  <c r="G411" i="1" s="1"/>
  <c r="D411" i="1"/>
  <c r="E411" i="1" s="1"/>
  <c r="B411" i="1"/>
  <c r="C411" i="1" s="1"/>
  <c r="F410" i="1"/>
  <c r="G410" i="1" s="1"/>
  <c r="D410" i="1"/>
  <c r="E410" i="1" s="1"/>
  <c r="B410" i="1"/>
  <c r="C410" i="1" s="1"/>
  <c r="F409" i="1"/>
  <c r="G409" i="1" s="1"/>
  <c r="D409" i="1"/>
  <c r="E409" i="1" s="1"/>
  <c r="B409" i="1"/>
  <c r="C409" i="1" s="1"/>
  <c r="F408" i="1"/>
  <c r="G408" i="1" s="1"/>
  <c r="D408" i="1"/>
  <c r="E408" i="1" s="1"/>
  <c r="B408" i="1"/>
  <c r="C408" i="1" s="1"/>
  <c r="F407" i="1"/>
  <c r="G407" i="1" s="1"/>
  <c r="D407" i="1"/>
  <c r="E407" i="1" s="1"/>
  <c r="B407" i="1"/>
  <c r="C407" i="1" s="1"/>
  <c r="F406" i="1"/>
  <c r="G406" i="1" s="1"/>
  <c r="D406" i="1"/>
  <c r="E406" i="1" s="1"/>
  <c r="B406" i="1"/>
  <c r="C406" i="1" s="1"/>
  <c r="F405" i="1"/>
  <c r="G405" i="1" s="1"/>
  <c r="D405" i="1"/>
  <c r="E405" i="1" s="1"/>
  <c r="B405" i="1"/>
  <c r="C405" i="1" s="1"/>
  <c r="F404" i="1"/>
  <c r="G404" i="1" s="1"/>
  <c r="D404" i="1"/>
  <c r="E404" i="1" s="1"/>
  <c r="B404" i="1"/>
  <c r="C404" i="1" s="1"/>
  <c r="F403" i="1"/>
  <c r="G403" i="1" s="1"/>
  <c r="D403" i="1"/>
  <c r="E403" i="1" s="1"/>
  <c r="B403" i="1"/>
  <c r="C403" i="1" s="1"/>
  <c r="F402" i="1"/>
  <c r="G402" i="1" s="1"/>
  <c r="D402" i="1"/>
  <c r="E402" i="1" s="1"/>
  <c r="B402" i="1"/>
  <c r="C402" i="1" s="1"/>
  <c r="F401" i="1"/>
  <c r="G401" i="1" s="1"/>
  <c r="D401" i="1"/>
  <c r="E401" i="1" s="1"/>
  <c r="B401" i="1"/>
  <c r="C401" i="1" s="1"/>
  <c r="F400" i="1"/>
  <c r="G400" i="1" s="1"/>
  <c r="D400" i="1"/>
  <c r="B400" i="1"/>
  <c r="C400" i="1" s="1"/>
  <c r="F399" i="1"/>
  <c r="G399" i="1" s="1"/>
  <c r="D399" i="1"/>
  <c r="E399" i="1" s="1"/>
  <c r="B399" i="1"/>
  <c r="C399" i="1" s="1"/>
  <c r="F398" i="1"/>
  <c r="G398" i="1" s="1"/>
  <c r="D398" i="1"/>
  <c r="E398" i="1" s="1"/>
  <c r="B398" i="1"/>
  <c r="C398" i="1" s="1"/>
  <c r="F397" i="1"/>
  <c r="G397" i="1" s="1"/>
  <c r="D397" i="1"/>
  <c r="E397" i="1" s="1"/>
  <c r="B397" i="1"/>
  <c r="C397" i="1" s="1"/>
  <c r="F396" i="1"/>
  <c r="G396" i="1" s="1"/>
  <c r="D396" i="1"/>
  <c r="B396" i="1"/>
  <c r="C396" i="1" s="1"/>
  <c r="F395" i="1"/>
  <c r="G395" i="1" s="1"/>
  <c r="D395" i="1"/>
  <c r="E395" i="1" s="1"/>
  <c r="B395" i="1"/>
  <c r="C395" i="1" s="1"/>
  <c r="F394" i="1"/>
  <c r="G394" i="1" s="1"/>
  <c r="D394" i="1"/>
  <c r="E394" i="1" s="1"/>
  <c r="B394" i="1"/>
  <c r="C394" i="1" s="1"/>
  <c r="F393" i="1"/>
  <c r="G393" i="1" s="1"/>
  <c r="D393" i="1"/>
  <c r="E393" i="1" s="1"/>
  <c r="B393" i="1"/>
  <c r="C393" i="1" s="1"/>
  <c r="F392" i="1"/>
  <c r="G392" i="1" s="1"/>
  <c r="D392" i="1"/>
  <c r="E392" i="1" s="1"/>
  <c r="B392" i="1"/>
  <c r="C392" i="1" s="1"/>
  <c r="F391" i="1"/>
  <c r="G391" i="1" s="1"/>
  <c r="D391" i="1"/>
  <c r="E391" i="1" s="1"/>
  <c r="B391" i="1"/>
  <c r="C391" i="1" s="1"/>
  <c r="F390" i="1"/>
  <c r="G390" i="1" s="1"/>
  <c r="D390" i="1"/>
  <c r="E390" i="1" s="1"/>
  <c r="B390" i="1"/>
  <c r="C390" i="1" s="1"/>
  <c r="F389" i="1"/>
  <c r="G389" i="1" s="1"/>
  <c r="D389" i="1"/>
  <c r="E389" i="1" s="1"/>
  <c r="B389" i="1"/>
  <c r="C389" i="1" s="1"/>
  <c r="F388" i="1"/>
  <c r="G388" i="1" s="1"/>
  <c r="D388" i="1"/>
  <c r="E388" i="1" s="1"/>
  <c r="B388" i="1"/>
  <c r="C388" i="1" s="1"/>
  <c r="F387" i="1"/>
  <c r="G387" i="1" s="1"/>
  <c r="D387" i="1"/>
  <c r="E387" i="1" s="1"/>
  <c r="B387" i="1"/>
  <c r="C387" i="1" s="1"/>
  <c r="F386" i="1"/>
  <c r="G386" i="1" s="1"/>
  <c r="D386" i="1"/>
  <c r="E386" i="1" s="1"/>
  <c r="B386" i="1"/>
  <c r="C386" i="1" s="1"/>
  <c r="F385" i="1"/>
  <c r="G385" i="1" s="1"/>
  <c r="D385" i="1"/>
  <c r="E385" i="1" s="1"/>
  <c r="B385" i="1"/>
  <c r="C385" i="1" s="1"/>
  <c r="F384" i="1"/>
  <c r="G384" i="1" s="1"/>
  <c r="D384" i="1"/>
  <c r="E384" i="1" s="1"/>
  <c r="B384" i="1"/>
  <c r="C384" i="1" s="1"/>
  <c r="F383" i="1"/>
  <c r="G383" i="1" s="1"/>
  <c r="D383" i="1"/>
  <c r="E383" i="1" s="1"/>
  <c r="B383" i="1"/>
  <c r="C383" i="1" s="1"/>
  <c r="F382" i="1"/>
  <c r="G382" i="1" s="1"/>
  <c r="D382" i="1"/>
  <c r="E382" i="1" s="1"/>
  <c r="B382" i="1"/>
  <c r="C382" i="1" s="1"/>
  <c r="F381" i="1"/>
  <c r="G381" i="1" s="1"/>
  <c r="D381" i="1"/>
  <c r="E381" i="1" s="1"/>
  <c r="B381" i="1"/>
  <c r="C381" i="1" s="1"/>
  <c r="F380" i="1"/>
  <c r="G380" i="1" s="1"/>
  <c r="D380" i="1"/>
  <c r="E380" i="1" s="1"/>
  <c r="B380" i="1"/>
  <c r="C380" i="1" s="1"/>
  <c r="F379" i="1"/>
  <c r="G379" i="1" s="1"/>
  <c r="D379" i="1"/>
  <c r="E379" i="1" s="1"/>
  <c r="B379" i="1"/>
  <c r="C379" i="1" s="1"/>
  <c r="F378" i="1"/>
  <c r="G378" i="1" s="1"/>
  <c r="D378" i="1"/>
  <c r="E378" i="1" s="1"/>
  <c r="B378" i="1"/>
  <c r="C378" i="1" s="1"/>
  <c r="F377" i="1"/>
  <c r="G377" i="1" s="1"/>
  <c r="D377" i="1"/>
  <c r="E377" i="1" s="1"/>
  <c r="B377" i="1"/>
  <c r="C377" i="1" s="1"/>
  <c r="F376" i="1"/>
  <c r="G376" i="1" s="1"/>
  <c r="D376" i="1"/>
  <c r="E376" i="1" s="1"/>
  <c r="B376" i="1"/>
  <c r="C376" i="1" s="1"/>
  <c r="F375" i="1"/>
  <c r="G375" i="1" s="1"/>
  <c r="D375" i="1"/>
  <c r="E375" i="1" s="1"/>
  <c r="B375" i="1"/>
  <c r="C375" i="1" s="1"/>
  <c r="F374" i="1"/>
  <c r="G374" i="1" s="1"/>
  <c r="D374" i="1"/>
  <c r="E374" i="1" s="1"/>
  <c r="B374" i="1"/>
  <c r="C374" i="1" s="1"/>
  <c r="F373" i="1"/>
  <c r="G373" i="1" s="1"/>
  <c r="D373" i="1"/>
  <c r="E373" i="1" s="1"/>
  <c r="B373" i="1"/>
  <c r="C373" i="1" s="1"/>
  <c r="F372" i="1"/>
  <c r="G372" i="1" s="1"/>
  <c r="D372" i="1"/>
  <c r="E372" i="1" s="1"/>
  <c r="B372" i="1"/>
  <c r="C372" i="1" s="1"/>
  <c r="F371" i="1"/>
  <c r="G371" i="1" s="1"/>
  <c r="D371" i="1"/>
  <c r="E371" i="1" s="1"/>
  <c r="B371" i="1"/>
  <c r="C371" i="1" s="1"/>
  <c r="F370" i="1"/>
  <c r="G370" i="1" s="1"/>
  <c r="D370" i="1"/>
  <c r="E370" i="1" s="1"/>
  <c r="B370" i="1"/>
  <c r="C370" i="1" s="1"/>
  <c r="F369" i="1"/>
  <c r="G369" i="1" s="1"/>
  <c r="D369" i="1"/>
  <c r="E369" i="1" s="1"/>
  <c r="B369" i="1"/>
  <c r="C369" i="1" s="1"/>
  <c r="F368" i="1"/>
  <c r="G368" i="1" s="1"/>
  <c r="D368" i="1"/>
  <c r="E368" i="1" s="1"/>
  <c r="B368" i="1"/>
  <c r="C368" i="1" s="1"/>
  <c r="F367" i="1"/>
  <c r="G367" i="1" s="1"/>
  <c r="D367" i="1"/>
  <c r="E367" i="1" s="1"/>
  <c r="B367" i="1"/>
  <c r="C367" i="1" s="1"/>
  <c r="F366" i="1"/>
  <c r="G366" i="1" s="1"/>
  <c r="D366" i="1"/>
  <c r="E366" i="1" s="1"/>
  <c r="B366" i="1"/>
  <c r="C366" i="1" s="1"/>
  <c r="F365" i="1"/>
  <c r="G365" i="1" s="1"/>
  <c r="D365" i="1"/>
  <c r="E365" i="1" s="1"/>
  <c r="B365" i="1"/>
  <c r="C365" i="1" s="1"/>
  <c r="F364" i="1"/>
  <c r="G364" i="1" s="1"/>
  <c r="D364" i="1"/>
  <c r="E364" i="1" s="1"/>
  <c r="B364" i="1"/>
  <c r="C364" i="1" s="1"/>
  <c r="F363" i="1"/>
  <c r="G363" i="1" s="1"/>
  <c r="D363" i="1"/>
  <c r="E363" i="1" s="1"/>
  <c r="B363" i="1"/>
  <c r="C363" i="1" s="1"/>
  <c r="F362" i="1"/>
  <c r="G362" i="1" s="1"/>
  <c r="D362" i="1"/>
  <c r="E362" i="1" s="1"/>
  <c r="B362" i="1"/>
  <c r="C362" i="1" s="1"/>
  <c r="F361" i="1"/>
  <c r="G361" i="1" s="1"/>
  <c r="D361" i="1"/>
  <c r="E361" i="1" s="1"/>
  <c r="B361" i="1"/>
  <c r="C361" i="1" s="1"/>
  <c r="F360" i="1"/>
  <c r="G360" i="1" s="1"/>
  <c r="D360" i="1"/>
  <c r="E360" i="1" s="1"/>
  <c r="B360" i="1"/>
  <c r="C360" i="1" s="1"/>
  <c r="F359" i="1"/>
  <c r="G359" i="1" s="1"/>
  <c r="D359" i="1"/>
  <c r="E359" i="1" s="1"/>
  <c r="B359" i="1"/>
  <c r="C359" i="1" s="1"/>
  <c r="F358" i="1"/>
  <c r="G358" i="1" s="1"/>
  <c r="D358" i="1"/>
  <c r="E358" i="1" s="1"/>
  <c r="B358" i="1"/>
  <c r="C358" i="1" s="1"/>
  <c r="F357" i="1"/>
  <c r="G357" i="1" s="1"/>
  <c r="D357" i="1"/>
  <c r="E357" i="1" s="1"/>
  <c r="B357" i="1"/>
  <c r="C357" i="1" s="1"/>
  <c r="F356" i="1"/>
  <c r="G356" i="1" s="1"/>
  <c r="D356" i="1"/>
  <c r="E356" i="1" s="1"/>
  <c r="B356" i="1"/>
  <c r="C356" i="1" s="1"/>
  <c r="F355" i="1"/>
  <c r="G355" i="1" s="1"/>
  <c r="D355" i="1"/>
  <c r="E355" i="1" s="1"/>
  <c r="B355" i="1"/>
  <c r="C355" i="1" s="1"/>
  <c r="F354" i="1"/>
  <c r="G354" i="1" s="1"/>
  <c r="D354" i="1"/>
  <c r="E354" i="1" s="1"/>
  <c r="B354" i="1"/>
  <c r="C354" i="1" s="1"/>
  <c r="F353" i="1"/>
  <c r="G353" i="1" s="1"/>
  <c r="D353" i="1"/>
  <c r="E353" i="1" s="1"/>
  <c r="B353" i="1"/>
  <c r="C353" i="1" s="1"/>
  <c r="F352" i="1"/>
  <c r="G352" i="1" s="1"/>
  <c r="D352" i="1"/>
  <c r="E352" i="1" s="1"/>
  <c r="B352" i="1"/>
  <c r="C352" i="1" s="1"/>
  <c r="F351" i="1"/>
  <c r="G351" i="1" s="1"/>
  <c r="D351" i="1"/>
  <c r="E351" i="1" s="1"/>
  <c r="B351" i="1"/>
  <c r="C351" i="1" s="1"/>
  <c r="F350" i="1"/>
  <c r="G350" i="1" s="1"/>
  <c r="D350" i="1"/>
  <c r="E350" i="1" s="1"/>
  <c r="B350" i="1"/>
  <c r="C350" i="1" s="1"/>
  <c r="F349" i="1"/>
  <c r="G349" i="1" s="1"/>
  <c r="D349" i="1"/>
  <c r="E349" i="1" s="1"/>
  <c r="B349" i="1"/>
  <c r="C349" i="1" s="1"/>
  <c r="F348" i="1"/>
  <c r="G348" i="1" s="1"/>
  <c r="D348" i="1"/>
  <c r="E348" i="1" s="1"/>
  <c r="B348" i="1"/>
  <c r="C348" i="1" s="1"/>
  <c r="F347" i="1"/>
  <c r="G347" i="1" s="1"/>
  <c r="D347" i="1"/>
  <c r="E347" i="1" s="1"/>
  <c r="B347" i="1"/>
  <c r="C347" i="1" s="1"/>
  <c r="F346" i="1"/>
  <c r="G346" i="1" s="1"/>
  <c r="D346" i="1"/>
  <c r="E346" i="1" s="1"/>
  <c r="B346" i="1"/>
  <c r="C346" i="1" s="1"/>
  <c r="F345" i="1"/>
  <c r="G345" i="1" s="1"/>
  <c r="D345" i="1"/>
  <c r="E345" i="1" s="1"/>
  <c r="B345" i="1"/>
  <c r="C345" i="1" s="1"/>
  <c r="F344" i="1"/>
  <c r="G344" i="1" s="1"/>
  <c r="D344" i="1"/>
  <c r="E344" i="1" s="1"/>
  <c r="B344" i="1"/>
  <c r="C344" i="1" s="1"/>
  <c r="F343" i="1"/>
  <c r="G343" i="1" s="1"/>
  <c r="D343" i="1"/>
  <c r="E343" i="1" s="1"/>
  <c r="B343" i="1"/>
  <c r="C343" i="1" s="1"/>
  <c r="F342" i="1"/>
  <c r="G342" i="1" s="1"/>
  <c r="D342" i="1"/>
  <c r="E342" i="1" s="1"/>
  <c r="B342" i="1"/>
  <c r="C342" i="1" s="1"/>
  <c r="F341" i="1"/>
  <c r="G341" i="1" s="1"/>
  <c r="D341" i="1"/>
  <c r="E341" i="1" s="1"/>
  <c r="B341" i="1"/>
  <c r="C341" i="1" s="1"/>
  <c r="F340" i="1"/>
  <c r="G340" i="1" s="1"/>
  <c r="D340" i="1"/>
  <c r="E340" i="1" s="1"/>
  <c r="B340" i="1"/>
  <c r="C340" i="1" s="1"/>
  <c r="F339" i="1"/>
  <c r="G339" i="1" s="1"/>
  <c r="D339" i="1"/>
  <c r="E339" i="1" s="1"/>
  <c r="B339" i="1"/>
  <c r="C339" i="1" s="1"/>
  <c r="F338" i="1"/>
  <c r="G338" i="1" s="1"/>
  <c r="D338" i="1"/>
  <c r="E338" i="1" s="1"/>
  <c r="B338" i="1"/>
  <c r="C338" i="1" s="1"/>
  <c r="F337" i="1"/>
  <c r="G337" i="1" s="1"/>
  <c r="D337" i="1"/>
  <c r="E337" i="1" s="1"/>
  <c r="B337" i="1"/>
  <c r="C337" i="1" s="1"/>
  <c r="F336" i="1"/>
  <c r="G336" i="1" s="1"/>
  <c r="D336" i="1"/>
  <c r="E336" i="1" s="1"/>
  <c r="B336" i="1"/>
  <c r="C336" i="1" s="1"/>
  <c r="F335" i="1"/>
  <c r="G335" i="1" s="1"/>
  <c r="D335" i="1"/>
  <c r="E335" i="1" s="1"/>
  <c r="B335" i="1"/>
  <c r="C335" i="1" s="1"/>
  <c r="F334" i="1"/>
  <c r="G334" i="1" s="1"/>
  <c r="D334" i="1"/>
  <c r="E334" i="1" s="1"/>
  <c r="B334" i="1"/>
  <c r="C334" i="1" s="1"/>
  <c r="F333" i="1"/>
  <c r="G333" i="1" s="1"/>
  <c r="D333" i="1"/>
  <c r="E333" i="1" s="1"/>
  <c r="B333" i="1"/>
  <c r="C333" i="1" s="1"/>
  <c r="F332" i="1"/>
  <c r="G332" i="1" s="1"/>
  <c r="D332" i="1"/>
  <c r="E332" i="1" s="1"/>
  <c r="B332" i="1"/>
  <c r="C332" i="1" s="1"/>
  <c r="F331" i="1"/>
  <c r="G331" i="1" s="1"/>
  <c r="D331" i="1"/>
  <c r="E331" i="1" s="1"/>
  <c r="B331" i="1"/>
  <c r="C331" i="1" s="1"/>
  <c r="F330" i="1"/>
  <c r="G330" i="1" s="1"/>
  <c r="D330" i="1"/>
  <c r="E330" i="1" s="1"/>
  <c r="B330" i="1"/>
  <c r="C330" i="1" s="1"/>
  <c r="F329" i="1"/>
  <c r="G329" i="1" s="1"/>
  <c r="D329" i="1"/>
  <c r="E329" i="1" s="1"/>
  <c r="B329" i="1"/>
  <c r="C329" i="1" s="1"/>
  <c r="F328" i="1"/>
  <c r="G328" i="1" s="1"/>
  <c r="D328" i="1"/>
  <c r="E328" i="1" s="1"/>
  <c r="B328" i="1"/>
  <c r="C328" i="1" s="1"/>
  <c r="F327" i="1"/>
  <c r="G327" i="1" s="1"/>
  <c r="D327" i="1"/>
  <c r="E327" i="1" s="1"/>
  <c r="B327" i="1"/>
  <c r="C327" i="1" s="1"/>
  <c r="F326" i="1"/>
  <c r="G326" i="1" s="1"/>
  <c r="D326" i="1"/>
  <c r="E326" i="1" s="1"/>
  <c r="B326" i="1"/>
  <c r="C326" i="1" s="1"/>
  <c r="F325" i="1"/>
  <c r="G325" i="1" s="1"/>
  <c r="D325" i="1"/>
  <c r="E325" i="1" s="1"/>
  <c r="B325" i="1"/>
  <c r="C325" i="1" s="1"/>
  <c r="F324" i="1"/>
  <c r="G324" i="1" s="1"/>
  <c r="D324" i="1"/>
  <c r="E324" i="1" s="1"/>
  <c r="B324" i="1"/>
  <c r="C324" i="1" s="1"/>
  <c r="F323" i="1"/>
  <c r="G323" i="1" s="1"/>
  <c r="D323" i="1"/>
  <c r="E323" i="1" s="1"/>
  <c r="B323" i="1"/>
  <c r="C323" i="1" s="1"/>
  <c r="F322" i="1"/>
  <c r="G322" i="1" s="1"/>
  <c r="D322" i="1"/>
  <c r="E322" i="1" s="1"/>
  <c r="B322" i="1"/>
  <c r="C322" i="1" s="1"/>
  <c r="F321" i="1"/>
  <c r="G321" i="1" s="1"/>
  <c r="D321" i="1"/>
  <c r="E321" i="1" s="1"/>
  <c r="B321" i="1"/>
  <c r="C321" i="1" s="1"/>
  <c r="F320" i="1"/>
  <c r="G320" i="1" s="1"/>
  <c r="D320" i="1"/>
  <c r="E320" i="1" s="1"/>
  <c r="B320" i="1"/>
  <c r="C320" i="1" s="1"/>
  <c r="F319" i="1"/>
  <c r="G319" i="1" s="1"/>
  <c r="D319" i="1"/>
  <c r="E319" i="1" s="1"/>
  <c r="B319" i="1"/>
  <c r="C319" i="1" s="1"/>
  <c r="F318" i="1"/>
  <c r="G318" i="1" s="1"/>
  <c r="D318" i="1"/>
  <c r="E318" i="1" s="1"/>
  <c r="B318" i="1"/>
  <c r="C318" i="1" s="1"/>
  <c r="F317" i="1"/>
  <c r="G317" i="1" s="1"/>
  <c r="D317" i="1"/>
  <c r="E317" i="1" s="1"/>
  <c r="B317" i="1"/>
  <c r="C317" i="1" s="1"/>
  <c r="F316" i="1"/>
  <c r="G316" i="1" s="1"/>
  <c r="D316" i="1"/>
  <c r="E316" i="1" s="1"/>
  <c r="B316" i="1"/>
  <c r="C316" i="1" s="1"/>
  <c r="F315" i="1"/>
  <c r="G315" i="1" s="1"/>
  <c r="D315" i="1"/>
  <c r="E315" i="1" s="1"/>
  <c r="B315" i="1"/>
  <c r="C315" i="1" s="1"/>
  <c r="F314" i="1"/>
  <c r="G314" i="1" s="1"/>
  <c r="D314" i="1"/>
  <c r="E314" i="1" s="1"/>
  <c r="B314" i="1"/>
  <c r="C314" i="1" s="1"/>
  <c r="F313" i="1"/>
  <c r="G313" i="1" s="1"/>
  <c r="D313" i="1"/>
  <c r="E313" i="1" s="1"/>
  <c r="B313" i="1"/>
  <c r="C313" i="1" s="1"/>
  <c r="F312" i="1"/>
  <c r="G312" i="1" s="1"/>
  <c r="D312" i="1"/>
  <c r="E312" i="1" s="1"/>
  <c r="B312" i="1"/>
  <c r="C312" i="1" s="1"/>
  <c r="F311" i="1"/>
  <c r="G311" i="1" s="1"/>
  <c r="D311" i="1"/>
  <c r="E311" i="1" s="1"/>
  <c r="B311" i="1"/>
  <c r="C311" i="1" s="1"/>
  <c r="F310" i="1"/>
  <c r="G310" i="1" s="1"/>
  <c r="D310" i="1"/>
  <c r="E310" i="1" s="1"/>
  <c r="B310" i="1"/>
  <c r="C310" i="1" s="1"/>
  <c r="F309" i="1"/>
  <c r="G309" i="1" s="1"/>
  <c r="D309" i="1"/>
  <c r="E309" i="1" s="1"/>
  <c r="B309" i="1"/>
  <c r="C309" i="1" s="1"/>
  <c r="F308" i="1"/>
  <c r="G308" i="1" s="1"/>
  <c r="D308" i="1"/>
  <c r="E308" i="1" s="1"/>
  <c r="B308" i="1"/>
  <c r="C308" i="1" s="1"/>
  <c r="F307" i="1"/>
  <c r="G307" i="1" s="1"/>
  <c r="D307" i="1"/>
  <c r="E307" i="1" s="1"/>
  <c r="B307" i="1"/>
  <c r="C307" i="1" s="1"/>
  <c r="F306" i="1"/>
  <c r="G306" i="1" s="1"/>
  <c r="D306" i="1"/>
  <c r="E306" i="1" s="1"/>
  <c r="B306" i="1"/>
  <c r="C306" i="1" s="1"/>
  <c r="F305" i="1"/>
  <c r="G305" i="1" s="1"/>
  <c r="D305" i="1"/>
  <c r="E305" i="1" s="1"/>
  <c r="B305" i="1"/>
  <c r="C305" i="1" s="1"/>
  <c r="F304" i="1"/>
  <c r="G304" i="1" s="1"/>
  <c r="D304" i="1"/>
  <c r="E304" i="1" s="1"/>
  <c r="B304" i="1"/>
  <c r="C304" i="1" s="1"/>
  <c r="F303" i="1"/>
  <c r="G303" i="1" s="1"/>
  <c r="D303" i="1"/>
  <c r="E303" i="1" s="1"/>
  <c r="B303" i="1"/>
  <c r="C303" i="1" s="1"/>
  <c r="F302" i="1"/>
  <c r="G302" i="1" s="1"/>
  <c r="D302" i="1"/>
  <c r="E302" i="1" s="1"/>
  <c r="B302" i="1"/>
  <c r="C302" i="1" s="1"/>
  <c r="F301" i="1"/>
  <c r="G301" i="1" s="1"/>
  <c r="D301" i="1"/>
  <c r="E301" i="1" s="1"/>
  <c r="B301" i="1"/>
  <c r="C301" i="1" s="1"/>
  <c r="F300" i="1"/>
  <c r="G300" i="1" s="1"/>
  <c r="D300" i="1"/>
  <c r="E300" i="1" s="1"/>
  <c r="B300" i="1"/>
  <c r="C300" i="1" s="1"/>
  <c r="F299" i="1"/>
  <c r="G299" i="1" s="1"/>
  <c r="D299" i="1"/>
  <c r="E299" i="1" s="1"/>
  <c r="B299" i="1"/>
  <c r="C299" i="1" s="1"/>
  <c r="F298" i="1"/>
  <c r="G298" i="1" s="1"/>
  <c r="D298" i="1"/>
  <c r="E298" i="1" s="1"/>
  <c r="B298" i="1"/>
  <c r="C298" i="1" s="1"/>
  <c r="F297" i="1"/>
  <c r="G297" i="1" s="1"/>
  <c r="D297" i="1"/>
  <c r="E297" i="1" s="1"/>
  <c r="B297" i="1"/>
  <c r="C297" i="1" s="1"/>
  <c r="F296" i="1"/>
  <c r="G296" i="1" s="1"/>
  <c r="D296" i="1"/>
  <c r="E296" i="1" s="1"/>
  <c r="B296" i="1"/>
  <c r="C296" i="1" s="1"/>
  <c r="F295" i="1"/>
  <c r="G295" i="1" s="1"/>
  <c r="D295" i="1"/>
  <c r="E295" i="1" s="1"/>
  <c r="B295" i="1"/>
  <c r="C295" i="1" s="1"/>
  <c r="F294" i="1"/>
  <c r="G294" i="1" s="1"/>
  <c r="D294" i="1"/>
  <c r="E294" i="1" s="1"/>
  <c r="B294" i="1"/>
  <c r="C294" i="1" s="1"/>
  <c r="F293" i="1"/>
  <c r="G293" i="1" s="1"/>
  <c r="D293" i="1"/>
  <c r="E293" i="1" s="1"/>
  <c r="B293" i="1"/>
  <c r="C293" i="1" s="1"/>
  <c r="F292" i="1"/>
  <c r="G292" i="1" s="1"/>
  <c r="D292" i="1"/>
  <c r="E292" i="1" s="1"/>
  <c r="B292" i="1"/>
  <c r="C292" i="1" s="1"/>
  <c r="F291" i="1"/>
  <c r="G291" i="1" s="1"/>
  <c r="D291" i="1"/>
  <c r="E291" i="1" s="1"/>
  <c r="B291" i="1"/>
  <c r="C291" i="1" s="1"/>
  <c r="F290" i="1"/>
  <c r="G290" i="1" s="1"/>
  <c r="D290" i="1"/>
  <c r="E290" i="1" s="1"/>
  <c r="B290" i="1"/>
  <c r="C290" i="1" s="1"/>
  <c r="F289" i="1"/>
  <c r="G289" i="1" s="1"/>
  <c r="D289" i="1"/>
  <c r="E289" i="1" s="1"/>
  <c r="B289" i="1"/>
  <c r="C289" i="1" s="1"/>
  <c r="F288" i="1"/>
  <c r="G288" i="1" s="1"/>
  <c r="D288" i="1"/>
  <c r="E288" i="1" s="1"/>
  <c r="B288" i="1"/>
  <c r="C288" i="1" s="1"/>
  <c r="F287" i="1"/>
  <c r="G287" i="1" s="1"/>
  <c r="D287" i="1"/>
  <c r="E287" i="1" s="1"/>
  <c r="B287" i="1"/>
  <c r="C287" i="1" s="1"/>
  <c r="F286" i="1"/>
  <c r="G286" i="1" s="1"/>
  <c r="D286" i="1"/>
  <c r="E286" i="1" s="1"/>
  <c r="B286" i="1"/>
  <c r="C286" i="1" s="1"/>
  <c r="F285" i="1"/>
  <c r="G285" i="1" s="1"/>
  <c r="D285" i="1"/>
  <c r="E285" i="1" s="1"/>
  <c r="B285" i="1"/>
  <c r="C285" i="1" s="1"/>
  <c r="F284" i="1"/>
  <c r="G284" i="1" s="1"/>
  <c r="D284" i="1"/>
  <c r="E284" i="1" s="1"/>
  <c r="B284" i="1"/>
  <c r="C284" i="1" s="1"/>
  <c r="F283" i="1"/>
  <c r="G283" i="1" s="1"/>
  <c r="D283" i="1"/>
  <c r="E283" i="1" s="1"/>
  <c r="B283" i="1"/>
  <c r="C283" i="1" s="1"/>
  <c r="F282" i="1"/>
  <c r="G282" i="1" s="1"/>
  <c r="D282" i="1"/>
  <c r="E282" i="1" s="1"/>
  <c r="B282" i="1"/>
  <c r="C282" i="1" s="1"/>
  <c r="F281" i="1"/>
  <c r="G281" i="1" s="1"/>
  <c r="D281" i="1"/>
  <c r="E281" i="1" s="1"/>
  <c r="B281" i="1"/>
  <c r="C281" i="1" s="1"/>
  <c r="F280" i="1"/>
  <c r="G280" i="1" s="1"/>
  <c r="D280" i="1"/>
  <c r="E280" i="1" s="1"/>
  <c r="B280" i="1"/>
  <c r="C280" i="1" s="1"/>
  <c r="F279" i="1"/>
  <c r="G279" i="1" s="1"/>
  <c r="D279" i="1"/>
  <c r="E279" i="1" s="1"/>
  <c r="B279" i="1"/>
  <c r="C279" i="1" s="1"/>
  <c r="F278" i="1"/>
  <c r="G278" i="1" s="1"/>
  <c r="D278" i="1"/>
  <c r="E278" i="1" s="1"/>
  <c r="B278" i="1"/>
  <c r="C278" i="1" s="1"/>
  <c r="F277" i="1"/>
  <c r="G277" i="1" s="1"/>
  <c r="D277" i="1"/>
  <c r="E277" i="1" s="1"/>
  <c r="B277" i="1"/>
  <c r="C277" i="1" s="1"/>
  <c r="F276" i="1"/>
  <c r="G276" i="1" s="1"/>
  <c r="D276" i="1"/>
  <c r="E276" i="1" s="1"/>
  <c r="B276" i="1"/>
  <c r="C276" i="1" s="1"/>
  <c r="F275" i="1"/>
  <c r="G275" i="1" s="1"/>
  <c r="D275" i="1"/>
  <c r="E275" i="1" s="1"/>
  <c r="B275" i="1"/>
  <c r="C275" i="1" s="1"/>
  <c r="F274" i="1"/>
  <c r="G274" i="1" s="1"/>
  <c r="D274" i="1"/>
  <c r="E274" i="1" s="1"/>
  <c r="B274" i="1"/>
  <c r="C274" i="1" s="1"/>
  <c r="F273" i="1"/>
  <c r="G273" i="1" s="1"/>
  <c r="D273" i="1"/>
  <c r="E273" i="1" s="1"/>
  <c r="B273" i="1"/>
  <c r="C273" i="1" s="1"/>
  <c r="F272" i="1"/>
  <c r="G272" i="1" s="1"/>
  <c r="D272" i="1"/>
  <c r="E272" i="1" s="1"/>
  <c r="B272" i="1"/>
  <c r="C272" i="1" s="1"/>
  <c r="F271" i="1"/>
  <c r="G271" i="1" s="1"/>
  <c r="D271" i="1"/>
  <c r="E271" i="1" s="1"/>
  <c r="B271" i="1"/>
  <c r="C271" i="1" s="1"/>
  <c r="F270" i="1"/>
  <c r="G270" i="1" s="1"/>
  <c r="D270" i="1"/>
  <c r="E270" i="1" s="1"/>
  <c r="B270" i="1"/>
  <c r="C270" i="1" s="1"/>
  <c r="F269" i="1"/>
  <c r="G269" i="1" s="1"/>
  <c r="D269" i="1"/>
  <c r="E269" i="1" s="1"/>
  <c r="B269" i="1"/>
  <c r="C269" i="1" s="1"/>
  <c r="F268" i="1"/>
  <c r="G268" i="1" s="1"/>
  <c r="D268" i="1"/>
  <c r="E268" i="1" s="1"/>
  <c r="B268" i="1"/>
  <c r="C268" i="1" s="1"/>
  <c r="F267" i="1"/>
  <c r="G267" i="1" s="1"/>
  <c r="D267" i="1"/>
  <c r="E267" i="1" s="1"/>
  <c r="B267" i="1"/>
  <c r="C267" i="1" s="1"/>
  <c r="F266" i="1"/>
  <c r="G266" i="1" s="1"/>
  <c r="D266" i="1"/>
  <c r="E266" i="1" s="1"/>
  <c r="B266" i="1"/>
  <c r="C266" i="1" s="1"/>
  <c r="F265" i="1"/>
  <c r="G265" i="1" s="1"/>
  <c r="D265" i="1"/>
  <c r="E265" i="1" s="1"/>
  <c r="B265" i="1"/>
  <c r="C265" i="1" s="1"/>
  <c r="F264" i="1"/>
  <c r="G264" i="1" s="1"/>
  <c r="D264" i="1"/>
  <c r="E264" i="1" s="1"/>
  <c r="B264" i="1"/>
  <c r="C264" i="1" s="1"/>
  <c r="F263" i="1"/>
  <c r="G263" i="1" s="1"/>
  <c r="D263" i="1"/>
  <c r="E263" i="1" s="1"/>
  <c r="B263" i="1"/>
  <c r="C263" i="1" s="1"/>
  <c r="F262" i="1"/>
  <c r="G262" i="1" s="1"/>
  <c r="D262" i="1"/>
  <c r="E262" i="1" s="1"/>
  <c r="B262" i="1"/>
  <c r="C262" i="1" s="1"/>
  <c r="F261" i="1"/>
  <c r="G261" i="1" s="1"/>
  <c r="D261" i="1"/>
  <c r="E261" i="1" s="1"/>
  <c r="B261" i="1"/>
  <c r="C261" i="1" s="1"/>
  <c r="F260" i="1"/>
  <c r="G260" i="1" s="1"/>
  <c r="D260" i="1"/>
  <c r="E260" i="1" s="1"/>
  <c r="B260" i="1"/>
  <c r="C260" i="1" s="1"/>
  <c r="F259" i="1"/>
  <c r="G259" i="1" s="1"/>
  <c r="D259" i="1"/>
  <c r="E259" i="1" s="1"/>
  <c r="B259" i="1"/>
  <c r="C259" i="1" s="1"/>
  <c r="F258" i="1"/>
  <c r="G258" i="1" s="1"/>
  <c r="D258" i="1"/>
  <c r="E258" i="1" s="1"/>
  <c r="B258" i="1"/>
  <c r="C258" i="1" s="1"/>
  <c r="F257" i="1"/>
  <c r="G257" i="1" s="1"/>
  <c r="D257" i="1"/>
  <c r="E257" i="1" s="1"/>
  <c r="B257" i="1"/>
  <c r="C257" i="1" s="1"/>
  <c r="F256" i="1"/>
  <c r="G256" i="1" s="1"/>
  <c r="D256" i="1"/>
  <c r="E256" i="1" s="1"/>
  <c r="B256" i="1"/>
  <c r="C256" i="1" s="1"/>
  <c r="F255" i="1"/>
  <c r="G255" i="1" s="1"/>
  <c r="D255" i="1"/>
  <c r="E255" i="1" s="1"/>
  <c r="B255" i="1"/>
  <c r="C255" i="1" s="1"/>
  <c r="F254" i="1"/>
  <c r="G254" i="1" s="1"/>
  <c r="D254" i="1"/>
  <c r="E254" i="1" s="1"/>
  <c r="B254" i="1"/>
  <c r="C254" i="1" s="1"/>
  <c r="F253" i="1"/>
  <c r="G253" i="1" s="1"/>
  <c r="D253" i="1"/>
  <c r="E253" i="1" s="1"/>
  <c r="B253" i="1"/>
  <c r="C253" i="1" s="1"/>
  <c r="F252" i="1"/>
  <c r="G252" i="1" s="1"/>
  <c r="D252" i="1"/>
  <c r="E252" i="1" s="1"/>
  <c r="B252" i="1"/>
  <c r="C252" i="1" s="1"/>
  <c r="F251" i="1"/>
  <c r="G251" i="1" s="1"/>
  <c r="D251" i="1"/>
  <c r="E251" i="1" s="1"/>
  <c r="B251" i="1"/>
  <c r="C251" i="1" s="1"/>
  <c r="F250" i="1"/>
  <c r="G250" i="1" s="1"/>
  <c r="D250" i="1"/>
  <c r="E250" i="1" s="1"/>
  <c r="B250" i="1"/>
  <c r="C250" i="1" s="1"/>
  <c r="F249" i="1"/>
  <c r="G249" i="1" s="1"/>
  <c r="D249" i="1"/>
  <c r="E249" i="1" s="1"/>
  <c r="B249" i="1"/>
  <c r="C249" i="1" s="1"/>
  <c r="F248" i="1"/>
  <c r="G248" i="1" s="1"/>
  <c r="D248" i="1"/>
  <c r="E248" i="1" s="1"/>
  <c r="B248" i="1"/>
  <c r="C248" i="1" s="1"/>
  <c r="F247" i="1"/>
  <c r="G247" i="1" s="1"/>
  <c r="D247" i="1"/>
  <c r="E247" i="1" s="1"/>
  <c r="B247" i="1"/>
  <c r="C247" i="1" s="1"/>
  <c r="F246" i="1"/>
  <c r="G246" i="1" s="1"/>
  <c r="D246" i="1"/>
  <c r="E246" i="1" s="1"/>
  <c r="B246" i="1"/>
  <c r="C246" i="1" s="1"/>
  <c r="F245" i="1"/>
  <c r="G245" i="1" s="1"/>
  <c r="D245" i="1"/>
  <c r="E245" i="1" s="1"/>
  <c r="B245" i="1"/>
  <c r="C245" i="1" s="1"/>
  <c r="F244" i="1"/>
  <c r="G244" i="1" s="1"/>
  <c r="D244" i="1"/>
  <c r="E244" i="1" s="1"/>
  <c r="B244" i="1"/>
  <c r="C244" i="1" s="1"/>
  <c r="F243" i="1"/>
  <c r="G243" i="1" s="1"/>
  <c r="D243" i="1"/>
  <c r="E243" i="1" s="1"/>
  <c r="B243" i="1"/>
  <c r="C243" i="1" s="1"/>
  <c r="F242" i="1"/>
  <c r="G242" i="1" s="1"/>
  <c r="D242" i="1"/>
  <c r="E242" i="1" s="1"/>
  <c r="B242" i="1"/>
  <c r="C242" i="1" s="1"/>
  <c r="F241" i="1"/>
  <c r="G241" i="1" s="1"/>
  <c r="D241" i="1"/>
  <c r="E241" i="1" s="1"/>
  <c r="B241" i="1"/>
  <c r="C241" i="1" s="1"/>
  <c r="F240" i="1"/>
  <c r="G240" i="1" s="1"/>
  <c r="D240" i="1"/>
  <c r="E240" i="1" s="1"/>
  <c r="B240" i="1"/>
  <c r="C240" i="1" s="1"/>
  <c r="F239" i="1"/>
  <c r="G239" i="1" s="1"/>
  <c r="D239" i="1"/>
  <c r="E239" i="1" s="1"/>
  <c r="B239" i="1"/>
  <c r="C239" i="1" s="1"/>
  <c r="F238" i="1"/>
  <c r="G238" i="1" s="1"/>
  <c r="D238" i="1"/>
  <c r="E238" i="1" s="1"/>
  <c r="B238" i="1"/>
  <c r="C238" i="1" s="1"/>
  <c r="F237" i="1"/>
  <c r="G237" i="1" s="1"/>
  <c r="D237" i="1"/>
  <c r="E237" i="1" s="1"/>
  <c r="B237" i="1"/>
  <c r="C237" i="1" s="1"/>
  <c r="F236" i="1"/>
  <c r="G236" i="1" s="1"/>
  <c r="D236" i="1"/>
  <c r="E236" i="1" s="1"/>
  <c r="B236" i="1"/>
  <c r="C236" i="1" s="1"/>
  <c r="F235" i="1"/>
  <c r="G235" i="1" s="1"/>
  <c r="D235" i="1"/>
  <c r="E235" i="1" s="1"/>
  <c r="B235" i="1"/>
  <c r="C235" i="1" s="1"/>
  <c r="F234" i="1"/>
  <c r="G234" i="1" s="1"/>
  <c r="D234" i="1"/>
  <c r="E234" i="1" s="1"/>
  <c r="B234" i="1"/>
  <c r="C234" i="1" s="1"/>
  <c r="F233" i="1"/>
  <c r="G233" i="1" s="1"/>
  <c r="D233" i="1"/>
  <c r="E233" i="1" s="1"/>
  <c r="B233" i="1"/>
  <c r="C233" i="1" s="1"/>
  <c r="F232" i="1"/>
  <c r="G232" i="1" s="1"/>
  <c r="D232" i="1"/>
  <c r="E232" i="1" s="1"/>
  <c r="B232" i="1"/>
  <c r="C232" i="1" s="1"/>
  <c r="F231" i="1"/>
  <c r="G231" i="1" s="1"/>
  <c r="D231" i="1"/>
  <c r="E231" i="1" s="1"/>
  <c r="B231" i="1"/>
  <c r="C231" i="1" s="1"/>
  <c r="F230" i="1"/>
  <c r="G230" i="1" s="1"/>
  <c r="D230" i="1"/>
  <c r="E230" i="1" s="1"/>
  <c r="B230" i="1"/>
  <c r="C230" i="1" s="1"/>
  <c r="F229" i="1"/>
  <c r="G229" i="1" s="1"/>
  <c r="D229" i="1"/>
  <c r="E229" i="1" s="1"/>
  <c r="B229" i="1"/>
  <c r="C229" i="1" s="1"/>
  <c r="F228" i="1"/>
  <c r="G228" i="1" s="1"/>
  <c r="D228" i="1"/>
  <c r="E228" i="1" s="1"/>
  <c r="B228" i="1"/>
  <c r="C228" i="1" s="1"/>
  <c r="F227" i="1"/>
  <c r="G227" i="1" s="1"/>
  <c r="D227" i="1"/>
  <c r="E227" i="1" s="1"/>
  <c r="B227" i="1"/>
  <c r="C227" i="1" s="1"/>
  <c r="F226" i="1"/>
  <c r="G226" i="1" s="1"/>
  <c r="D226" i="1"/>
  <c r="E226" i="1" s="1"/>
  <c r="B226" i="1"/>
  <c r="C226" i="1" s="1"/>
  <c r="F225" i="1"/>
  <c r="G225" i="1" s="1"/>
  <c r="D225" i="1"/>
  <c r="E225" i="1" s="1"/>
  <c r="B225" i="1"/>
  <c r="C225" i="1" s="1"/>
  <c r="F224" i="1"/>
  <c r="G224" i="1" s="1"/>
  <c r="D224" i="1"/>
  <c r="E224" i="1" s="1"/>
  <c r="B224" i="1"/>
  <c r="C224" i="1" s="1"/>
  <c r="F223" i="1"/>
  <c r="G223" i="1" s="1"/>
  <c r="D223" i="1"/>
  <c r="E223" i="1" s="1"/>
  <c r="B223" i="1"/>
  <c r="C223" i="1" s="1"/>
  <c r="F222" i="1"/>
  <c r="G222" i="1" s="1"/>
  <c r="D222" i="1"/>
  <c r="E222" i="1" s="1"/>
  <c r="B222" i="1"/>
  <c r="C222" i="1" s="1"/>
  <c r="F221" i="1"/>
  <c r="G221" i="1" s="1"/>
  <c r="D221" i="1"/>
  <c r="E221" i="1" s="1"/>
  <c r="B221" i="1"/>
  <c r="C221" i="1" s="1"/>
  <c r="F220" i="1"/>
  <c r="G220" i="1" s="1"/>
  <c r="D220" i="1"/>
  <c r="E220" i="1" s="1"/>
  <c r="B220" i="1"/>
  <c r="C220" i="1" s="1"/>
  <c r="F219" i="1"/>
  <c r="G219" i="1" s="1"/>
  <c r="D219" i="1"/>
  <c r="E219" i="1" s="1"/>
  <c r="B219" i="1"/>
  <c r="C219" i="1" s="1"/>
  <c r="F218" i="1"/>
  <c r="G218" i="1" s="1"/>
  <c r="D218" i="1"/>
  <c r="E218" i="1" s="1"/>
  <c r="B218" i="1"/>
  <c r="C218" i="1" s="1"/>
  <c r="F217" i="1"/>
  <c r="G217" i="1" s="1"/>
  <c r="D217" i="1"/>
  <c r="E217" i="1" s="1"/>
  <c r="B217" i="1"/>
  <c r="C217" i="1" s="1"/>
  <c r="F216" i="1"/>
  <c r="G216" i="1" s="1"/>
  <c r="D216" i="1"/>
  <c r="E216" i="1" s="1"/>
  <c r="B216" i="1"/>
  <c r="C216" i="1" s="1"/>
  <c r="F215" i="1"/>
  <c r="G215" i="1" s="1"/>
  <c r="D215" i="1"/>
  <c r="E215" i="1" s="1"/>
  <c r="B215" i="1"/>
  <c r="C215" i="1" s="1"/>
  <c r="F214" i="1"/>
  <c r="G214" i="1" s="1"/>
  <c r="D214" i="1"/>
  <c r="E214" i="1" s="1"/>
  <c r="B214" i="1"/>
  <c r="C214" i="1" s="1"/>
  <c r="F213" i="1"/>
  <c r="G213" i="1" s="1"/>
  <c r="D213" i="1"/>
  <c r="E213" i="1" s="1"/>
  <c r="B213" i="1"/>
  <c r="C213" i="1" s="1"/>
  <c r="F212" i="1"/>
  <c r="G212" i="1" s="1"/>
  <c r="D212" i="1"/>
  <c r="B212" i="1"/>
  <c r="C212" i="1" s="1"/>
  <c r="F211" i="1"/>
  <c r="G211" i="1" s="1"/>
  <c r="D211" i="1"/>
  <c r="E211" i="1" s="1"/>
  <c r="B211" i="1"/>
  <c r="C211" i="1" s="1"/>
  <c r="F210" i="1"/>
  <c r="G210" i="1" s="1"/>
  <c r="D210" i="1"/>
  <c r="E210" i="1" s="1"/>
  <c r="B210" i="1"/>
  <c r="C210" i="1" s="1"/>
  <c r="F209" i="1"/>
  <c r="G209" i="1" s="1"/>
  <c r="D209" i="1"/>
  <c r="E209" i="1" s="1"/>
  <c r="B209" i="1"/>
  <c r="C209" i="1" s="1"/>
  <c r="F208" i="1"/>
  <c r="G208" i="1" s="1"/>
  <c r="D208" i="1"/>
  <c r="E208" i="1" s="1"/>
  <c r="B208" i="1"/>
  <c r="C208" i="1" s="1"/>
  <c r="F207" i="1"/>
  <c r="G207" i="1" s="1"/>
  <c r="D207" i="1"/>
  <c r="E207" i="1" s="1"/>
  <c r="B207" i="1"/>
  <c r="C207" i="1" s="1"/>
  <c r="F206" i="1"/>
  <c r="G206" i="1" s="1"/>
  <c r="D206" i="1"/>
  <c r="E206" i="1" s="1"/>
  <c r="B206" i="1"/>
  <c r="C206" i="1" s="1"/>
  <c r="F205" i="1"/>
  <c r="G205" i="1" s="1"/>
  <c r="D205" i="1"/>
  <c r="B205" i="1"/>
  <c r="C205" i="1" s="1"/>
  <c r="F204" i="1"/>
  <c r="G204" i="1" s="1"/>
  <c r="D204" i="1"/>
  <c r="E204" i="1" s="1"/>
  <c r="B204" i="1"/>
  <c r="C204" i="1" s="1"/>
  <c r="F203" i="1"/>
  <c r="G203" i="1" s="1"/>
  <c r="D203" i="1"/>
  <c r="E203" i="1" s="1"/>
  <c r="B203" i="1"/>
  <c r="C203" i="1" s="1"/>
  <c r="F202" i="1"/>
  <c r="G202" i="1" s="1"/>
  <c r="D202" i="1"/>
  <c r="E202" i="1" s="1"/>
  <c r="B202" i="1"/>
  <c r="C202" i="1" s="1"/>
  <c r="F201" i="1"/>
  <c r="G201" i="1" s="1"/>
  <c r="D201" i="1"/>
  <c r="E201" i="1" s="1"/>
  <c r="B201" i="1"/>
  <c r="C201" i="1" s="1"/>
  <c r="F200" i="1"/>
  <c r="G200" i="1" s="1"/>
  <c r="D200" i="1"/>
  <c r="E200" i="1" s="1"/>
  <c r="B200" i="1"/>
  <c r="C200" i="1" s="1"/>
  <c r="F199" i="1"/>
  <c r="G199" i="1" s="1"/>
  <c r="D199" i="1"/>
  <c r="E199" i="1" s="1"/>
  <c r="B199" i="1"/>
  <c r="C199" i="1" s="1"/>
  <c r="F198" i="1"/>
  <c r="G198" i="1" s="1"/>
  <c r="D198" i="1"/>
  <c r="E198" i="1" s="1"/>
  <c r="B198" i="1"/>
  <c r="C198" i="1" s="1"/>
  <c r="F197" i="1"/>
  <c r="G197" i="1" s="1"/>
  <c r="D197" i="1"/>
  <c r="E197" i="1" s="1"/>
  <c r="B197" i="1"/>
  <c r="C197" i="1" s="1"/>
  <c r="F196" i="1"/>
  <c r="G196" i="1" s="1"/>
  <c r="D196" i="1"/>
  <c r="E196" i="1" s="1"/>
  <c r="B196" i="1"/>
  <c r="C196" i="1" s="1"/>
  <c r="F195" i="1"/>
  <c r="G195" i="1" s="1"/>
  <c r="D195" i="1"/>
  <c r="E195" i="1" s="1"/>
  <c r="B195" i="1"/>
  <c r="C195" i="1" s="1"/>
  <c r="F194" i="1"/>
  <c r="G194" i="1" s="1"/>
  <c r="D194" i="1"/>
  <c r="E194" i="1" s="1"/>
  <c r="B194" i="1"/>
  <c r="C194" i="1" s="1"/>
  <c r="F193" i="1"/>
  <c r="G193" i="1" s="1"/>
  <c r="D193" i="1"/>
  <c r="E193" i="1" s="1"/>
  <c r="B193" i="1"/>
  <c r="C193" i="1" s="1"/>
  <c r="F192" i="1"/>
  <c r="G192" i="1" s="1"/>
  <c r="D192" i="1"/>
  <c r="B192" i="1"/>
  <c r="C192" i="1" s="1"/>
  <c r="F191" i="1"/>
  <c r="G191" i="1" s="1"/>
  <c r="D191" i="1"/>
  <c r="E191" i="1" s="1"/>
  <c r="B191" i="1"/>
  <c r="C191" i="1" s="1"/>
  <c r="F190" i="1"/>
  <c r="G190" i="1" s="1"/>
  <c r="D190" i="1"/>
  <c r="E190" i="1" s="1"/>
  <c r="B190" i="1"/>
  <c r="C190" i="1" s="1"/>
  <c r="F189" i="1"/>
  <c r="G189" i="1" s="1"/>
  <c r="D189" i="1"/>
  <c r="E189" i="1" s="1"/>
  <c r="B189" i="1"/>
  <c r="C189" i="1" s="1"/>
  <c r="F188" i="1"/>
  <c r="G188" i="1" s="1"/>
  <c r="D188" i="1"/>
  <c r="E188" i="1" s="1"/>
  <c r="B188" i="1"/>
  <c r="C188" i="1" s="1"/>
  <c r="F187" i="1"/>
  <c r="G187" i="1" s="1"/>
  <c r="D187" i="1"/>
  <c r="E187" i="1" s="1"/>
  <c r="B187" i="1"/>
  <c r="C187" i="1" s="1"/>
  <c r="F186" i="1"/>
  <c r="G186" i="1" s="1"/>
  <c r="D186" i="1"/>
  <c r="E186" i="1" s="1"/>
  <c r="B186" i="1"/>
  <c r="C186" i="1" s="1"/>
  <c r="F185" i="1"/>
  <c r="G185" i="1" s="1"/>
  <c r="D185" i="1"/>
  <c r="E185" i="1" s="1"/>
  <c r="B185" i="1"/>
  <c r="C185" i="1" s="1"/>
  <c r="F184" i="1"/>
  <c r="G184" i="1" s="1"/>
  <c r="D184" i="1"/>
  <c r="E184" i="1" s="1"/>
  <c r="B184" i="1"/>
  <c r="C184" i="1" s="1"/>
  <c r="F183" i="1"/>
  <c r="G183" i="1" s="1"/>
  <c r="D183" i="1"/>
  <c r="E183" i="1" s="1"/>
  <c r="B183" i="1"/>
  <c r="C183" i="1" s="1"/>
  <c r="F182" i="1"/>
  <c r="G182" i="1" s="1"/>
  <c r="D182" i="1"/>
  <c r="E182" i="1" s="1"/>
  <c r="B182" i="1"/>
  <c r="C182" i="1" s="1"/>
  <c r="F181" i="1"/>
  <c r="G181" i="1" s="1"/>
  <c r="D181" i="1"/>
  <c r="E181" i="1" s="1"/>
  <c r="B181" i="1"/>
  <c r="C181" i="1" s="1"/>
  <c r="F180" i="1"/>
  <c r="G180" i="1" s="1"/>
  <c r="D180" i="1"/>
  <c r="E180" i="1" s="1"/>
  <c r="B180" i="1"/>
  <c r="C180" i="1" s="1"/>
  <c r="F179" i="1"/>
  <c r="G179" i="1" s="1"/>
  <c r="D179" i="1"/>
  <c r="E179" i="1" s="1"/>
  <c r="B179" i="1"/>
  <c r="C179" i="1" s="1"/>
  <c r="F178" i="1"/>
  <c r="G178" i="1" s="1"/>
  <c r="D178" i="1"/>
  <c r="E178" i="1" s="1"/>
  <c r="B178" i="1"/>
  <c r="C178" i="1" s="1"/>
  <c r="F177" i="1"/>
  <c r="G177" i="1" s="1"/>
  <c r="D177" i="1"/>
  <c r="E177" i="1" s="1"/>
  <c r="B177" i="1"/>
  <c r="C177" i="1" s="1"/>
  <c r="F176" i="1"/>
  <c r="G176" i="1" s="1"/>
  <c r="D176" i="1"/>
  <c r="E176" i="1" s="1"/>
  <c r="B176" i="1"/>
  <c r="C176" i="1" s="1"/>
  <c r="F175" i="1"/>
  <c r="G175" i="1" s="1"/>
  <c r="D175" i="1"/>
  <c r="E175" i="1" s="1"/>
  <c r="B175" i="1"/>
  <c r="C175" i="1" s="1"/>
  <c r="F174" i="1"/>
  <c r="G174" i="1" s="1"/>
  <c r="D174" i="1"/>
  <c r="E174" i="1" s="1"/>
  <c r="B174" i="1"/>
  <c r="C174" i="1" s="1"/>
  <c r="F173" i="1"/>
  <c r="G173" i="1" s="1"/>
  <c r="D173" i="1"/>
  <c r="E173" i="1" s="1"/>
  <c r="B173" i="1"/>
  <c r="C173" i="1" s="1"/>
  <c r="F172" i="1"/>
  <c r="G172" i="1" s="1"/>
  <c r="D172" i="1"/>
  <c r="E172" i="1" s="1"/>
  <c r="B172" i="1"/>
  <c r="C172" i="1" s="1"/>
  <c r="F171" i="1"/>
  <c r="G171" i="1" s="1"/>
  <c r="D171" i="1"/>
  <c r="E171" i="1" s="1"/>
  <c r="B171" i="1"/>
  <c r="C171" i="1" s="1"/>
  <c r="F170" i="1"/>
  <c r="G170" i="1" s="1"/>
  <c r="D170" i="1"/>
  <c r="E170" i="1" s="1"/>
  <c r="B170" i="1"/>
  <c r="C170" i="1" s="1"/>
  <c r="F169" i="1"/>
  <c r="G169" i="1" s="1"/>
  <c r="D169" i="1"/>
  <c r="E169" i="1" s="1"/>
  <c r="B169" i="1"/>
  <c r="C169" i="1" s="1"/>
  <c r="F168" i="1"/>
  <c r="G168" i="1" s="1"/>
  <c r="D168" i="1"/>
  <c r="E168" i="1" s="1"/>
  <c r="B168" i="1"/>
  <c r="C168" i="1" s="1"/>
  <c r="F167" i="1"/>
  <c r="G167" i="1" s="1"/>
  <c r="D167" i="1"/>
  <c r="E167" i="1" s="1"/>
  <c r="B167" i="1"/>
  <c r="C167" i="1" s="1"/>
  <c r="F166" i="1"/>
  <c r="G166" i="1" s="1"/>
  <c r="D166" i="1"/>
  <c r="E166" i="1" s="1"/>
  <c r="B166" i="1"/>
  <c r="C166" i="1" s="1"/>
  <c r="F165" i="1"/>
  <c r="G165" i="1" s="1"/>
  <c r="D165" i="1"/>
  <c r="E165" i="1" s="1"/>
  <c r="B165" i="1"/>
  <c r="C165" i="1" s="1"/>
  <c r="F164" i="1"/>
  <c r="G164" i="1" s="1"/>
  <c r="D164" i="1"/>
  <c r="E164" i="1" s="1"/>
  <c r="B164" i="1"/>
  <c r="C164" i="1" s="1"/>
  <c r="F163" i="1"/>
  <c r="G163" i="1" s="1"/>
  <c r="D163" i="1"/>
  <c r="E163" i="1" s="1"/>
  <c r="B163" i="1"/>
  <c r="C163" i="1" s="1"/>
  <c r="F162" i="1"/>
  <c r="G162" i="1" s="1"/>
  <c r="D162" i="1"/>
  <c r="E162" i="1" s="1"/>
  <c r="B162" i="1"/>
  <c r="C162" i="1" s="1"/>
  <c r="F161" i="1"/>
  <c r="G161" i="1" s="1"/>
  <c r="D161" i="1"/>
  <c r="E161" i="1" s="1"/>
  <c r="B161" i="1"/>
  <c r="C161" i="1" s="1"/>
  <c r="F160" i="1"/>
  <c r="G160" i="1" s="1"/>
  <c r="D160" i="1"/>
  <c r="E160" i="1" s="1"/>
  <c r="B160" i="1"/>
  <c r="C160" i="1" s="1"/>
  <c r="F159" i="1"/>
  <c r="G159" i="1" s="1"/>
  <c r="D159" i="1"/>
  <c r="E159" i="1" s="1"/>
  <c r="B159" i="1"/>
  <c r="C159" i="1" s="1"/>
  <c r="F158" i="1"/>
  <c r="G158" i="1" s="1"/>
  <c r="D158" i="1"/>
  <c r="E158" i="1" s="1"/>
  <c r="B158" i="1"/>
  <c r="C158" i="1" s="1"/>
  <c r="F157" i="1"/>
  <c r="G157" i="1" s="1"/>
  <c r="D157" i="1"/>
  <c r="E157" i="1" s="1"/>
  <c r="B157" i="1"/>
  <c r="C157" i="1" s="1"/>
  <c r="F156" i="1"/>
  <c r="G156" i="1" s="1"/>
  <c r="D156" i="1"/>
  <c r="E156" i="1" s="1"/>
  <c r="B156" i="1"/>
  <c r="C156" i="1" s="1"/>
  <c r="F155" i="1"/>
  <c r="G155" i="1" s="1"/>
  <c r="D155" i="1"/>
  <c r="E155" i="1" s="1"/>
  <c r="B155" i="1"/>
  <c r="C155" i="1" s="1"/>
  <c r="F154" i="1"/>
  <c r="G154" i="1" s="1"/>
  <c r="D154" i="1"/>
  <c r="E154" i="1" s="1"/>
  <c r="B154" i="1"/>
  <c r="C154" i="1" s="1"/>
  <c r="F153" i="1"/>
  <c r="G153" i="1" s="1"/>
  <c r="D153" i="1"/>
  <c r="E153" i="1" s="1"/>
  <c r="B153" i="1"/>
  <c r="C153" i="1" s="1"/>
  <c r="F152" i="1"/>
  <c r="G152" i="1" s="1"/>
  <c r="D152" i="1"/>
  <c r="E152" i="1" s="1"/>
  <c r="B152" i="1"/>
  <c r="C152" i="1" s="1"/>
  <c r="F151" i="1"/>
  <c r="G151" i="1" s="1"/>
  <c r="D151" i="1"/>
  <c r="E151" i="1" s="1"/>
  <c r="B151" i="1"/>
  <c r="C151" i="1" s="1"/>
  <c r="F150" i="1"/>
  <c r="G150" i="1" s="1"/>
  <c r="D150" i="1"/>
  <c r="E150" i="1" s="1"/>
  <c r="B150" i="1"/>
  <c r="C150" i="1" s="1"/>
  <c r="F149" i="1"/>
  <c r="G149" i="1" s="1"/>
  <c r="D149" i="1"/>
  <c r="E149" i="1" s="1"/>
  <c r="B149" i="1"/>
  <c r="C149" i="1" s="1"/>
  <c r="F148" i="1"/>
  <c r="G148" i="1" s="1"/>
  <c r="D148" i="1"/>
  <c r="E148" i="1" s="1"/>
  <c r="B148" i="1"/>
  <c r="C148" i="1" s="1"/>
  <c r="F147" i="1"/>
  <c r="G147" i="1" s="1"/>
  <c r="D147" i="1"/>
  <c r="E147" i="1" s="1"/>
  <c r="B147" i="1"/>
  <c r="C147" i="1" s="1"/>
  <c r="F146" i="1"/>
  <c r="G146" i="1" s="1"/>
  <c r="D146" i="1"/>
  <c r="E146" i="1" s="1"/>
  <c r="B146" i="1"/>
  <c r="C146" i="1" s="1"/>
  <c r="F145" i="1"/>
  <c r="G145" i="1" s="1"/>
  <c r="D145" i="1"/>
  <c r="E145" i="1" s="1"/>
  <c r="B145" i="1"/>
  <c r="C145" i="1" s="1"/>
  <c r="F144" i="1"/>
  <c r="G144" i="1" s="1"/>
  <c r="D144" i="1"/>
  <c r="E144" i="1" s="1"/>
  <c r="B144" i="1"/>
  <c r="C144" i="1" s="1"/>
  <c r="F143" i="1"/>
  <c r="G143" i="1" s="1"/>
  <c r="D143" i="1"/>
  <c r="E143" i="1" s="1"/>
  <c r="B143" i="1"/>
  <c r="C143" i="1" s="1"/>
  <c r="F142" i="1"/>
  <c r="G142" i="1" s="1"/>
  <c r="D142" i="1"/>
  <c r="E142" i="1" s="1"/>
  <c r="B142" i="1"/>
  <c r="C142" i="1" s="1"/>
  <c r="F141" i="1"/>
  <c r="G141" i="1" s="1"/>
  <c r="D141" i="1"/>
  <c r="E141" i="1" s="1"/>
  <c r="B141" i="1"/>
  <c r="C141" i="1" s="1"/>
  <c r="F140" i="1"/>
  <c r="G140" i="1" s="1"/>
  <c r="D140" i="1"/>
  <c r="E140" i="1" s="1"/>
  <c r="B140" i="1"/>
  <c r="C140" i="1" s="1"/>
  <c r="F139" i="1"/>
  <c r="G139" i="1" s="1"/>
  <c r="D139" i="1"/>
  <c r="E139" i="1" s="1"/>
  <c r="B139" i="1"/>
  <c r="C139" i="1" s="1"/>
  <c r="F138" i="1"/>
  <c r="G138" i="1" s="1"/>
  <c r="D138" i="1"/>
  <c r="E138" i="1" s="1"/>
  <c r="B138" i="1"/>
  <c r="C138" i="1" s="1"/>
  <c r="F137" i="1"/>
  <c r="G137" i="1" s="1"/>
  <c r="D137" i="1"/>
  <c r="E137" i="1" s="1"/>
  <c r="B137" i="1"/>
  <c r="C137" i="1" s="1"/>
  <c r="F136" i="1"/>
  <c r="G136" i="1" s="1"/>
  <c r="D136" i="1"/>
  <c r="E136" i="1" s="1"/>
  <c r="B136" i="1"/>
  <c r="C136" i="1" s="1"/>
  <c r="F135" i="1"/>
  <c r="G135" i="1" s="1"/>
  <c r="D135" i="1"/>
  <c r="E135" i="1" s="1"/>
  <c r="B135" i="1"/>
  <c r="C135" i="1" s="1"/>
  <c r="F134" i="1"/>
  <c r="G134" i="1" s="1"/>
  <c r="D134" i="1"/>
  <c r="E134" i="1" s="1"/>
  <c r="B134" i="1"/>
  <c r="C134" i="1" s="1"/>
  <c r="F133" i="1"/>
  <c r="G133" i="1" s="1"/>
  <c r="D133" i="1"/>
  <c r="E133" i="1" s="1"/>
  <c r="B133" i="1"/>
  <c r="C133" i="1" s="1"/>
  <c r="F132" i="1"/>
  <c r="G132" i="1" s="1"/>
  <c r="D132" i="1"/>
  <c r="E132" i="1" s="1"/>
  <c r="B132" i="1"/>
  <c r="C132" i="1" s="1"/>
  <c r="F131" i="1"/>
  <c r="G131" i="1" s="1"/>
  <c r="D131" i="1"/>
  <c r="E131" i="1" s="1"/>
  <c r="B131" i="1"/>
  <c r="C131" i="1" s="1"/>
  <c r="F130" i="1"/>
  <c r="G130" i="1" s="1"/>
  <c r="D130" i="1"/>
  <c r="E130" i="1" s="1"/>
  <c r="B130" i="1"/>
  <c r="C130" i="1" s="1"/>
  <c r="F129" i="1"/>
  <c r="G129" i="1" s="1"/>
  <c r="D129" i="1"/>
  <c r="E129" i="1" s="1"/>
  <c r="B129" i="1"/>
  <c r="C129" i="1" s="1"/>
  <c r="F128" i="1"/>
  <c r="G128" i="1" s="1"/>
  <c r="D128" i="1"/>
  <c r="E128" i="1" s="1"/>
  <c r="B128" i="1"/>
  <c r="C128" i="1" s="1"/>
  <c r="F127" i="1"/>
  <c r="G127" i="1" s="1"/>
  <c r="D127" i="1"/>
  <c r="E127" i="1" s="1"/>
  <c r="B127" i="1"/>
  <c r="C127" i="1" s="1"/>
  <c r="F126" i="1"/>
  <c r="G126" i="1" s="1"/>
  <c r="D126" i="1"/>
  <c r="E126" i="1" s="1"/>
  <c r="B126" i="1"/>
  <c r="C126" i="1" s="1"/>
  <c r="F125" i="1"/>
  <c r="G125" i="1" s="1"/>
  <c r="D125" i="1"/>
  <c r="E125" i="1" s="1"/>
  <c r="B125" i="1"/>
  <c r="C125" i="1" s="1"/>
  <c r="F124" i="1"/>
  <c r="G124" i="1" s="1"/>
  <c r="D124" i="1"/>
  <c r="E124" i="1" s="1"/>
  <c r="B124" i="1"/>
  <c r="C124" i="1" s="1"/>
  <c r="F123" i="1"/>
  <c r="G123" i="1" s="1"/>
  <c r="D123" i="1"/>
  <c r="E123" i="1" s="1"/>
  <c r="B123" i="1"/>
  <c r="C123" i="1" s="1"/>
  <c r="F122" i="1"/>
  <c r="G122" i="1" s="1"/>
  <c r="D122" i="1"/>
  <c r="E122" i="1" s="1"/>
  <c r="B122" i="1"/>
  <c r="C122" i="1" s="1"/>
  <c r="F121" i="1"/>
  <c r="G121" i="1" s="1"/>
  <c r="D121" i="1"/>
  <c r="E121" i="1" s="1"/>
  <c r="B121" i="1"/>
  <c r="C121" i="1" s="1"/>
  <c r="F120" i="1"/>
  <c r="G120" i="1" s="1"/>
  <c r="D120" i="1"/>
  <c r="E120" i="1" s="1"/>
  <c r="B120" i="1"/>
  <c r="C120" i="1" s="1"/>
  <c r="F119" i="1"/>
  <c r="G119" i="1" s="1"/>
  <c r="D119" i="1"/>
  <c r="E119" i="1" s="1"/>
  <c r="B119" i="1"/>
  <c r="C119" i="1" s="1"/>
  <c r="F118" i="1"/>
  <c r="G118" i="1" s="1"/>
  <c r="D118" i="1"/>
  <c r="E118" i="1" s="1"/>
  <c r="B118" i="1"/>
  <c r="C118" i="1" s="1"/>
  <c r="F117" i="1"/>
  <c r="G117" i="1" s="1"/>
  <c r="D117" i="1"/>
  <c r="E117" i="1" s="1"/>
  <c r="B117" i="1"/>
  <c r="C117" i="1" s="1"/>
  <c r="F116" i="1"/>
  <c r="G116" i="1" s="1"/>
  <c r="D116" i="1"/>
  <c r="E116" i="1" s="1"/>
  <c r="B116" i="1"/>
  <c r="C116" i="1" s="1"/>
  <c r="F115" i="1"/>
  <c r="G115" i="1" s="1"/>
  <c r="D115" i="1"/>
  <c r="E115" i="1" s="1"/>
  <c r="B115" i="1"/>
  <c r="C115" i="1" s="1"/>
  <c r="F114" i="1"/>
  <c r="G114" i="1" s="1"/>
  <c r="D114" i="1"/>
  <c r="E114" i="1" s="1"/>
  <c r="B114" i="1"/>
  <c r="C114" i="1" s="1"/>
  <c r="F113" i="1"/>
  <c r="G113" i="1" s="1"/>
  <c r="D113" i="1"/>
  <c r="E113" i="1" s="1"/>
  <c r="B113" i="1"/>
  <c r="C113" i="1" s="1"/>
  <c r="F112" i="1"/>
  <c r="G112" i="1" s="1"/>
  <c r="D112" i="1"/>
  <c r="E112" i="1" s="1"/>
  <c r="B112" i="1"/>
  <c r="C112" i="1" s="1"/>
  <c r="F111" i="1"/>
  <c r="G111" i="1" s="1"/>
  <c r="D111" i="1"/>
  <c r="E111" i="1" s="1"/>
  <c r="B111" i="1"/>
  <c r="C111" i="1" s="1"/>
  <c r="F110" i="1"/>
  <c r="G110" i="1" s="1"/>
  <c r="D110" i="1"/>
  <c r="E110" i="1" s="1"/>
  <c r="B110" i="1"/>
  <c r="C110" i="1" s="1"/>
  <c r="F109" i="1"/>
  <c r="G109" i="1" s="1"/>
  <c r="D109" i="1"/>
  <c r="E109" i="1" s="1"/>
  <c r="B109" i="1"/>
  <c r="C109" i="1" s="1"/>
  <c r="F108" i="1"/>
  <c r="G108" i="1" s="1"/>
  <c r="D108" i="1"/>
  <c r="E108" i="1" s="1"/>
  <c r="B108" i="1"/>
  <c r="C108" i="1" s="1"/>
  <c r="F107" i="1"/>
  <c r="G107" i="1" s="1"/>
  <c r="D107" i="1"/>
  <c r="E107" i="1" s="1"/>
  <c r="B107" i="1"/>
  <c r="C107" i="1" s="1"/>
  <c r="F106" i="1"/>
  <c r="G106" i="1" s="1"/>
  <c r="D106" i="1"/>
  <c r="E106" i="1" s="1"/>
  <c r="B106" i="1"/>
  <c r="C106" i="1" s="1"/>
  <c r="F105" i="1"/>
  <c r="G105" i="1" s="1"/>
  <c r="D105" i="1"/>
  <c r="E105" i="1" s="1"/>
  <c r="B105" i="1"/>
  <c r="C105" i="1" s="1"/>
  <c r="F104" i="1"/>
  <c r="G104" i="1" s="1"/>
  <c r="D104" i="1"/>
  <c r="E104" i="1" s="1"/>
  <c r="B104" i="1"/>
  <c r="C104" i="1" s="1"/>
  <c r="F103" i="1"/>
  <c r="G103" i="1" s="1"/>
  <c r="D103" i="1"/>
  <c r="E103" i="1" s="1"/>
  <c r="B103" i="1"/>
  <c r="C103" i="1" s="1"/>
  <c r="F102" i="1"/>
  <c r="G102" i="1" s="1"/>
  <c r="D102" i="1"/>
  <c r="E102" i="1" s="1"/>
  <c r="B102" i="1"/>
  <c r="C102" i="1" s="1"/>
  <c r="F101" i="1"/>
  <c r="G101" i="1" s="1"/>
  <c r="D101" i="1"/>
  <c r="E101" i="1" s="1"/>
  <c r="B101" i="1"/>
  <c r="C101" i="1" s="1"/>
  <c r="F100" i="1"/>
  <c r="G100" i="1" s="1"/>
  <c r="D100" i="1"/>
  <c r="E100" i="1" s="1"/>
  <c r="B100" i="1"/>
  <c r="C100" i="1" s="1"/>
  <c r="F99" i="1"/>
  <c r="G99" i="1" s="1"/>
  <c r="D99" i="1"/>
  <c r="E99" i="1" s="1"/>
  <c r="B99" i="1"/>
  <c r="C99" i="1" s="1"/>
  <c r="F98" i="1"/>
  <c r="G98" i="1" s="1"/>
  <c r="D98" i="1"/>
  <c r="E98" i="1" s="1"/>
  <c r="B98" i="1"/>
  <c r="C98" i="1" s="1"/>
  <c r="F97" i="1"/>
  <c r="G97" i="1" s="1"/>
  <c r="D97" i="1"/>
  <c r="E97" i="1" s="1"/>
  <c r="B97" i="1"/>
  <c r="C97" i="1" s="1"/>
  <c r="F96" i="1"/>
  <c r="G96" i="1" s="1"/>
  <c r="D96" i="1"/>
  <c r="E96" i="1" s="1"/>
  <c r="B96" i="1"/>
  <c r="C96" i="1" s="1"/>
  <c r="F95" i="1"/>
  <c r="G95" i="1" s="1"/>
  <c r="D95" i="1"/>
  <c r="E95" i="1" s="1"/>
  <c r="B95" i="1"/>
  <c r="C95" i="1" s="1"/>
  <c r="F94" i="1"/>
  <c r="G94" i="1" s="1"/>
  <c r="D94" i="1"/>
  <c r="E94" i="1" s="1"/>
  <c r="B94" i="1"/>
  <c r="C94" i="1" s="1"/>
  <c r="F93" i="1"/>
  <c r="G93" i="1" s="1"/>
  <c r="D93" i="1"/>
  <c r="E93" i="1" s="1"/>
  <c r="B93" i="1"/>
  <c r="C93" i="1" s="1"/>
  <c r="F92" i="1"/>
  <c r="G92" i="1" s="1"/>
  <c r="D92" i="1"/>
  <c r="E92" i="1" s="1"/>
  <c r="B92" i="1"/>
  <c r="C92" i="1" s="1"/>
  <c r="F91" i="1"/>
  <c r="G91" i="1" s="1"/>
  <c r="D91" i="1"/>
  <c r="E91" i="1" s="1"/>
  <c r="B91" i="1"/>
  <c r="C91" i="1" s="1"/>
  <c r="F90" i="1"/>
  <c r="G90" i="1" s="1"/>
  <c r="D90" i="1"/>
  <c r="E90" i="1" s="1"/>
  <c r="B90" i="1"/>
  <c r="C90" i="1" s="1"/>
  <c r="F89" i="1"/>
  <c r="G89" i="1" s="1"/>
  <c r="D89" i="1"/>
  <c r="E89" i="1" s="1"/>
  <c r="B89" i="1"/>
  <c r="C89" i="1" s="1"/>
  <c r="F88" i="1"/>
  <c r="G88" i="1" s="1"/>
  <c r="D88" i="1"/>
  <c r="E88" i="1" s="1"/>
  <c r="B88" i="1"/>
  <c r="C88" i="1" s="1"/>
  <c r="F87" i="1"/>
  <c r="G87" i="1" s="1"/>
  <c r="D87" i="1"/>
  <c r="E87" i="1" s="1"/>
  <c r="B87" i="1"/>
  <c r="C87" i="1" s="1"/>
  <c r="F86" i="1"/>
  <c r="G86" i="1" s="1"/>
  <c r="D86" i="1"/>
  <c r="E86" i="1" s="1"/>
  <c r="B86" i="1"/>
  <c r="C86" i="1" s="1"/>
  <c r="F85" i="1"/>
  <c r="G85" i="1" s="1"/>
  <c r="D85" i="1"/>
  <c r="E85" i="1" s="1"/>
  <c r="B85" i="1"/>
  <c r="C85" i="1" s="1"/>
  <c r="F84" i="1"/>
  <c r="G84" i="1" s="1"/>
  <c r="D84" i="1"/>
  <c r="E84" i="1" s="1"/>
  <c r="B84" i="1"/>
  <c r="C84" i="1" s="1"/>
  <c r="F83" i="1"/>
  <c r="G83" i="1" s="1"/>
  <c r="D83" i="1"/>
  <c r="E83" i="1" s="1"/>
  <c r="B83" i="1"/>
  <c r="C83" i="1" s="1"/>
  <c r="F82" i="1"/>
  <c r="G82" i="1" s="1"/>
  <c r="D82" i="1"/>
  <c r="E82" i="1" s="1"/>
  <c r="B82" i="1"/>
  <c r="C82" i="1" s="1"/>
  <c r="F81" i="1"/>
  <c r="G81" i="1" s="1"/>
  <c r="D81" i="1"/>
  <c r="E81" i="1" s="1"/>
  <c r="B81" i="1"/>
  <c r="C81" i="1" s="1"/>
  <c r="F80" i="1"/>
  <c r="G80" i="1" s="1"/>
  <c r="D80" i="1"/>
  <c r="E80" i="1" s="1"/>
  <c r="B80" i="1"/>
  <c r="C80" i="1" s="1"/>
  <c r="F79" i="1"/>
  <c r="G79" i="1" s="1"/>
  <c r="D79" i="1"/>
  <c r="E79" i="1" s="1"/>
  <c r="B79" i="1"/>
  <c r="C79" i="1" s="1"/>
  <c r="F78" i="1"/>
  <c r="G78" i="1" s="1"/>
  <c r="D78" i="1"/>
  <c r="E78" i="1" s="1"/>
  <c r="B78" i="1"/>
  <c r="C78" i="1" s="1"/>
  <c r="F77" i="1"/>
  <c r="G77" i="1" s="1"/>
  <c r="D77" i="1"/>
  <c r="E77" i="1" s="1"/>
  <c r="B77" i="1"/>
  <c r="C77" i="1" s="1"/>
  <c r="F76" i="1"/>
  <c r="G76" i="1" s="1"/>
  <c r="D76" i="1"/>
  <c r="E76" i="1" s="1"/>
  <c r="B76" i="1"/>
  <c r="C76" i="1" s="1"/>
  <c r="F75" i="1"/>
  <c r="G75" i="1" s="1"/>
  <c r="D75" i="1"/>
  <c r="E75" i="1" s="1"/>
  <c r="B75" i="1"/>
  <c r="C75" i="1" s="1"/>
  <c r="F74" i="1"/>
  <c r="G74" i="1" s="1"/>
  <c r="D74" i="1"/>
  <c r="E74" i="1" s="1"/>
  <c r="B74" i="1"/>
  <c r="C74" i="1" s="1"/>
  <c r="F73" i="1"/>
  <c r="G73" i="1" s="1"/>
  <c r="D73" i="1"/>
  <c r="E73" i="1" s="1"/>
  <c r="B73" i="1"/>
  <c r="C73" i="1" s="1"/>
  <c r="F72" i="1"/>
  <c r="G72" i="1" s="1"/>
  <c r="D72" i="1"/>
  <c r="E72" i="1" s="1"/>
  <c r="B72" i="1"/>
  <c r="C72" i="1" s="1"/>
  <c r="F71" i="1"/>
  <c r="G71" i="1" s="1"/>
  <c r="D71" i="1"/>
  <c r="E71" i="1" s="1"/>
  <c r="B71" i="1"/>
  <c r="C71" i="1" s="1"/>
  <c r="F70" i="1"/>
  <c r="G70" i="1" s="1"/>
  <c r="D70" i="1"/>
  <c r="E70" i="1" s="1"/>
  <c r="B70" i="1"/>
  <c r="C70" i="1" s="1"/>
  <c r="F69" i="1"/>
  <c r="G69" i="1" s="1"/>
  <c r="D69" i="1"/>
  <c r="E69" i="1" s="1"/>
  <c r="B69" i="1"/>
  <c r="C69" i="1" s="1"/>
  <c r="F68" i="1"/>
  <c r="G68" i="1" s="1"/>
  <c r="D68" i="1"/>
  <c r="E68" i="1" s="1"/>
  <c r="B68" i="1"/>
  <c r="C68" i="1" s="1"/>
  <c r="F67" i="1"/>
  <c r="G67" i="1" s="1"/>
  <c r="D67" i="1"/>
  <c r="E67" i="1" s="1"/>
  <c r="B67" i="1"/>
  <c r="C67" i="1" s="1"/>
  <c r="F66" i="1"/>
  <c r="G66" i="1" s="1"/>
  <c r="D66" i="1"/>
  <c r="E66" i="1" s="1"/>
  <c r="B66" i="1"/>
  <c r="C66" i="1" s="1"/>
  <c r="F65" i="1"/>
  <c r="G65" i="1" s="1"/>
  <c r="D65" i="1"/>
  <c r="E65" i="1" s="1"/>
  <c r="B65" i="1"/>
  <c r="C65" i="1" s="1"/>
  <c r="F64" i="1"/>
  <c r="G64" i="1" s="1"/>
  <c r="D64" i="1"/>
  <c r="E64" i="1" s="1"/>
  <c r="B64" i="1"/>
  <c r="C64" i="1" s="1"/>
  <c r="F63" i="1"/>
  <c r="G63" i="1" s="1"/>
  <c r="D63" i="1"/>
  <c r="E63" i="1" s="1"/>
  <c r="B63" i="1"/>
  <c r="C63" i="1" s="1"/>
  <c r="F62" i="1"/>
  <c r="G62" i="1" s="1"/>
  <c r="D62" i="1"/>
  <c r="E62" i="1" s="1"/>
  <c r="B62" i="1"/>
  <c r="C62" i="1" s="1"/>
  <c r="F61" i="1"/>
  <c r="G61" i="1" s="1"/>
  <c r="D61" i="1"/>
  <c r="E61" i="1" s="1"/>
  <c r="B61" i="1"/>
  <c r="C61" i="1" s="1"/>
  <c r="F60" i="1"/>
  <c r="G60" i="1" s="1"/>
  <c r="D60" i="1"/>
  <c r="E60" i="1" s="1"/>
  <c r="B60" i="1"/>
  <c r="C60" i="1" s="1"/>
  <c r="F59" i="1"/>
  <c r="G59" i="1" s="1"/>
  <c r="D59" i="1"/>
  <c r="E59" i="1" s="1"/>
  <c r="B59" i="1"/>
  <c r="C59" i="1" s="1"/>
  <c r="F58" i="1"/>
  <c r="G58" i="1" s="1"/>
  <c r="D58" i="1"/>
  <c r="E58" i="1" s="1"/>
  <c r="B58" i="1"/>
  <c r="C58" i="1" s="1"/>
  <c r="F57" i="1"/>
  <c r="G57" i="1" s="1"/>
  <c r="D57" i="1"/>
  <c r="E57" i="1" s="1"/>
  <c r="B57" i="1"/>
  <c r="C57" i="1" s="1"/>
  <c r="F56" i="1"/>
  <c r="G56" i="1" s="1"/>
  <c r="D56" i="1"/>
  <c r="E56" i="1" s="1"/>
  <c r="B56" i="1"/>
  <c r="C56" i="1" s="1"/>
  <c r="F55" i="1"/>
  <c r="G55" i="1" s="1"/>
  <c r="D55" i="1"/>
  <c r="E55" i="1" s="1"/>
  <c r="B55" i="1"/>
  <c r="C55" i="1" s="1"/>
  <c r="F54" i="1"/>
  <c r="G54" i="1" s="1"/>
  <c r="D54" i="1"/>
  <c r="E54" i="1" s="1"/>
  <c r="B54" i="1"/>
  <c r="C54" i="1" s="1"/>
  <c r="F53" i="1"/>
  <c r="G53" i="1" s="1"/>
  <c r="D53" i="1"/>
  <c r="E53" i="1" s="1"/>
  <c r="B53" i="1"/>
  <c r="C53" i="1" s="1"/>
  <c r="F52" i="1"/>
  <c r="G52" i="1" s="1"/>
  <c r="D52" i="1"/>
  <c r="E52" i="1" s="1"/>
  <c r="B52" i="1"/>
  <c r="C52" i="1" s="1"/>
  <c r="F51" i="1"/>
  <c r="G51" i="1" s="1"/>
  <c r="D51" i="1"/>
  <c r="E51" i="1" s="1"/>
  <c r="B51" i="1"/>
  <c r="C51" i="1" s="1"/>
  <c r="F50" i="1"/>
  <c r="G50" i="1" s="1"/>
  <c r="D50" i="1"/>
  <c r="E50" i="1" s="1"/>
  <c r="B50" i="1"/>
  <c r="C50" i="1" s="1"/>
  <c r="F49" i="1"/>
  <c r="G49" i="1" s="1"/>
  <c r="D49" i="1"/>
  <c r="E49" i="1" s="1"/>
  <c r="B49" i="1"/>
  <c r="C49" i="1" s="1"/>
  <c r="F48" i="1"/>
  <c r="G48" i="1" s="1"/>
  <c r="D48" i="1"/>
  <c r="E48" i="1" s="1"/>
  <c r="B48" i="1"/>
  <c r="C48" i="1" s="1"/>
  <c r="F47" i="1"/>
  <c r="G47" i="1" s="1"/>
  <c r="D47" i="1"/>
  <c r="E47" i="1" s="1"/>
  <c r="B47" i="1"/>
  <c r="C47" i="1" s="1"/>
  <c r="F46" i="1"/>
  <c r="G46" i="1" s="1"/>
  <c r="D46" i="1"/>
  <c r="E46" i="1" s="1"/>
  <c r="B46" i="1"/>
  <c r="C46" i="1" s="1"/>
  <c r="F45" i="1"/>
  <c r="G45" i="1" s="1"/>
  <c r="D45" i="1"/>
  <c r="E45" i="1" s="1"/>
  <c r="B45" i="1"/>
  <c r="C45" i="1" s="1"/>
  <c r="F44" i="1"/>
  <c r="G44" i="1" s="1"/>
  <c r="D44" i="1"/>
  <c r="E44" i="1" s="1"/>
  <c r="B44" i="1"/>
  <c r="C44" i="1" s="1"/>
  <c r="F43" i="1"/>
  <c r="G43" i="1" s="1"/>
  <c r="D43" i="1"/>
  <c r="E43" i="1" s="1"/>
  <c r="B43" i="1"/>
  <c r="C43" i="1" s="1"/>
  <c r="F42" i="1"/>
  <c r="G42" i="1" s="1"/>
  <c r="D42" i="1"/>
  <c r="E42" i="1" s="1"/>
  <c r="B42" i="1"/>
  <c r="C42" i="1" s="1"/>
  <c r="F41" i="1"/>
  <c r="G41" i="1" s="1"/>
  <c r="D41" i="1"/>
  <c r="E41" i="1" s="1"/>
  <c r="B41" i="1"/>
  <c r="C41" i="1" s="1"/>
  <c r="F40" i="1"/>
  <c r="G40" i="1" s="1"/>
  <c r="D40" i="1"/>
  <c r="E40" i="1" s="1"/>
  <c r="B40" i="1"/>
  <c r="C40" i="1" s="1"/>
  <c r="F39" i="1"/>
  <c r="G39" i="1" s="1"/>
  <c r="D39" i="1"/>
  <c r="E39" i="1" s="1"/>
  <c r="B39" i="1"/>
  <c r="C39" i="1" s="1"/>
  <c r="F38" i="1"/>
  <c r="G38" i="1" s="1"/>
  <c r="D38" i="1"/>
  <c r="E38" i="1" s="1"/>
  <c r="B38" i="1"/>
  <c r="C38" i="1" s="1"/>
  <c r="F37" i="1"/>
  <c r="G37" i="1" s="1"/>
  <c r="D37" i="1"/>
  <c r="E37" i="1" s="1"/>
  <c r="B37" i="1"/>
  <c r="C37" i="1" s="1"/>
  <c r="F36" i="1"/>
  <c r="G36" i="1" s="1"/>
  <c r="D36" i="1"/>
  <c r="E36" i="1" s="1"/>
  <c r="B36" i="1"/>
  <c r="C36" i="1" s="1"/>
  <c r="F35" i="1"/>
  <c r="G35" i="1" s="1"/>
  <c r="D35" i="1"/>
  <c r="E35" i="1" s="1"/>
  <c r="B35" i="1"/>
  <c r="C35" i="1" s="1"/>
  <c r="F34" i="1"/>
  <c r="G34" i="1" s="1"/>
  <c r="D34" i="1"/>
  <c r="E34" i="1" s="1"/>
  <c r="B34" i="1"/>
  <c r="C34" i="1" s="1"/>
  <c r="F33" i="1"/>
  <c r="G33" i="1" s="1"/>
  <c r="D33" i="1"/>
  <c r="E33" i="1" s="1"/>
  <c r="B33" i="1"/>
  <c r="C33" i="1" s="1"/>
  <c r="F32" i="1"/>
  <c r="G32" i="1" s="1"/>
  <c r="D32" i="1"/>
  <c r="E32" i="1" s="1"/>
  <c r="B32" i="1"/>
  <c r="C32" i="1" s="1"/>
  <c r="F31" i="1"/>
  <c r="G31" i="1" s="1"/>
  <c r="D31" i="1"/>
  <c r="E31" i="1" s="1"/>
  <c r="B31" i="1"/>
  <c r="C31" i="1" s="1"/>
  <c r="F30" i="1"/>
  <c r="G30" i="1" s="1"/>
  <c r="D30" i="1"/>
  <c r="E30" i="1" s="1"/>
  <c r="B30" i="1"/>
  <c r="C30" i="1" s="1"/>
  <c r="F29" i="1"/>
  <c r="G29" i="1" s="1"/>
  <c r="D29" i="1"/>
  <c r="E29" i="1" s="1"/>
  <c r="B29" i="1"/>
  <c r="C29" i="1" s="1"/>
  <c r="F28" i="1"/>
  <c r="G28" i="1" s="1"/>
  <c r="D28" i="1"/>
  <c r="E28" i="1" s="1"/>
  <c r="B28" i="1"/>
  <c r="C28" i="1" s="1"/>
  <c r="F27" i="1"/>
  <c r="G27" i="1" s="1"/>
  <c r="D27" i="1"/>
  <c r="E27" i="1" s="1"/>
  <c r="B27" i="1"/>
  <c r="C27" i="1" s="1"/>
  <c r="F26" i="1"/>
  <c r="G26" i="1" s="1"/>
  <c r="D26" i="1"/>
  <c r="E26" i="1" s="1"/>
  <c r="B26" i="1"/>
  <c r="C26" i="1" s="1"/>
  <c r="F25" i="1"/>
  <c r="G25" i="1" s="1"/>
  <c r="D25" i="1"/>
  <c r="E25" i="1" s="1"/>
  <c r="B25" i="1"/>
  <c r="C25" i="1" s="1"/>
  <c r="F24" i="1"/>
  <c r="G24" i="1" s="1"/>
  <c r="D24" i="1"/>
  <c r="E24" i="1" s="1"/>
  <c r="B24" i="1"/>
  <c r="C24" i="1" s="1"/>
  <c r="F23" i="1"/>
  <c r="G23" i="1" s="1"/>
  <c r="D23" i="1"/>
  <c r="E23" i="1" s="1"/>
  <c r="B23" i="1"/>
  <c r="C23" i="1" s="1"/>
  <c r="F22" i="1"/>
  <c r="G22" i="1" s="1"/>
  <c r="D22" i="1"/>
  <c r="E22" i="1" s="1"/>
  <c r="B22" i="1"/>
  <c r="C22" i="1" s="1"/>
  <c r="F21" i="1"/>
  <c r="G21" i="1" s="1"/>
  <c r="D21" i="1"/>
  <c r="E21" i="1" s="1"/>
  <c r="B21" i="1"/>
  <c r="C21" i="1" s="1"/>
  <c r="F20" i="1"/>
  <c r="G20" i="1" s="1"/>
  <c r="D20" i="1"/>
  <c r="E20" i="1" s="1"/>
  <c r="B20" i="1"/>
  <c r="C20" i="1" s="1"/>
  <c r="F19" i="1"/>
  <c r="G19" i="1" s="1"/>
  <c r="D19" i="1"/>
  <c r="E19" i="1" s="1"/>
  <c r="B19" i="1"/>
  <c r="C19" i="1" s="1"/>
  <c r="F18" i="1"/>
  <c r="G18" i="1" s="1"/>
  <c r="D18" i="1"/>
  <c r="E18" i="1" s="1"/>
  <c r="B18" i="1"/>
  <c r="C18" i="1" s="1"/>
  <c r="F17" i="1"/>
  <c r="G17" i="1" s="1"/>
  <c r="D17" i="1"/>
  <c r="E17" i="1" s="1"/>
  <c r="B17" i="1"/>
  <c r="C17" i="1" s="1"/>
  <c r="F16" i="1"/>
  <c r="G16" i="1" s="1"/>
  <c r="D16" i="1"/>
  <c r="E16" i="1" s="1"/>
  <c r="B16" i="1"/>
  <c r="C16" i="1" s="1"/>
  <c r="F15" i="1"/>
  <c r="G15" i="1" s="1"/>
  <c r="D15" i="1"/>
  <c r="E15" i="1" s="1"/>
  <c r="B15" i="1"/>
  <c r="C15" i="1" s="1"/>
  <c r="F14" i="1"/>
  <c r="G14" i="1" s="1"/>
  <c r="D14" i="1"/>
  <c r="E14" i="1" s="1"/>
  <c r="B14" i="1"/>
  <c r="C14" i="1" s="1"/>
  <c r="F13" i="1"/>
  <c r="G13" i="1" s="1"/>
  <c r="D13" i="1"/>
  <c r="E13" i="1" s="1"/>
  <c r="B13" i="1"/>
  <c r="C13" i="1" s="1"/>
  <c r="R12" i="1"/>
  <c r="N12" i="1"/>
  <c r="F12" i="1"/>
  <c r="G12" i="1" s="1"/>
  <c r="D12" i="1"/>
  <c r="E12" i="1" s="1"/>
  <c r="B12" i="1"/>
  <c r="C12" i="1" s="1"/>
  <c r="F11" i="1"/>
  <c r="G11" i="1" s="1"/>
  <c r="D11" i="1"/>
  <c r="E11" i="1" s="1"/>
  <c r="B11" i="1"/>
  <c r="C11" i="1" s="1"/>
  <c r="R10" i="1"/>
  <c r="F10" i="1"/>
  <c r="G10" i="1" s="1"/>
  <c r="D10" i="1"/>
  <c r="E10" i="1" s="1"/>
  <c r="B10" i="1"/>
  <c r="C10" i="1" s="1"/>
  <c r="N9" i="1"/>
  <c r="F9" i="1"/>
  <c r="G9" i="1" s="1"/>
  <c r="D9" i="1"/>
  <c r="E9" i="1" s="1"/>
  <c r="B9" i="1"/>
  <c r="C9" i="1" s="1"/>
  <c r="F8" i="1"/>
  <c r="G8" i="1" s="1"/>
  <c r="D8" i="1"/>
  <c r="E8" i="1" s="1"/>
  <c r="B8" i="1"/>
  <c r="C8" i="1" s="1"/>
  <c r="F7" i="1"/>
  <c r="G7" i="1" s="1"/>
  <c r="D7" i="1"/>
  <c r="E7" i="1" s="1"/>
  <c r="B7" i="1"/>
  <c r="C7" i="1" s="1"/>
  <c r="F6" i="1"/>
  <c r="G6" i="1" s="1"/>
  <c r="D6" i="1"/>
  <c r="E6" i="1" s="1"/>
  <c r="B6" i="1"/>
  <c r="C6" i="1" s="1"/>
  <c r="R11" i="1" l="1"/>
  <c r="R13" i="1"/>
  <c r="R21" i="1"/>
  <c r="R20" i="1"/>
  <c r="R18" i="1"/>
  <c r="E592" i="1"/>
  <c r="E578" i="1"/>
  <c r="E563" i="1"/>
  <c r="E418" i="1"/>
  <c r="E396" i="1"/>
  <c r="E478" i="1"/>
  <c r="E560" i="1"/>
  <c r="E212" i="1"/>
  <c r="E541" i="1"/>
  <c r="E192" i="1"/>
  <c r="E400" i="1"/>
  <c r="E417" i="1"/>
  <c r="E588" i="1"/>
  <c r="E205" i="1"/>
  <c r="R16" i="1"/>
  <c r="R19" i="1"/>
  <c r="R17" i="1"/>
  <c r="J16" i="1"/>
  <c r="J15" i="1"/>
  <c r="J17" i="1"/>
  <c r="J10" i="1"/>
  <c r="J14" i="1"/>
  <c r="J9" i="1"/>
  <c r="J13" i="1"/>
  <c r="N13" i="1" l="1"/>
  <c r="N19" i="1"/>
  <c r="N17" i="1"/>
  <c r="N18" i="1"/>
  <c r="N16" i="1"/>
</calcChain>
</file>

<file path=xl/sharedStrings.xml><?xml version="1.0" encoding="utf-8"?>
<sst xmlns="http://schemas.openxmlformats.org/spreadsheetml/2006/main" count="60" uniqueCount="48">
  <si>
    <t>PIPELINE CI/CD (VARIABLES CONTINUAS: EXPONENCIAL, TRIANGULAR, LOGNORMAL)</t>
  </si>
  <si>
    <t>Simulación de 1000 Commits de OmniMarket - Análisis de Tiempos y Latencia</t>
  </si>
  <si>
    <t>1. EXPONENCIAL (Llegada Commits)</t>
  </si>
  <si>
    <t>2. TRIANGULAR (Tiempo Build)</t>
  </si>
  <si>
    <t>3. LOGNORMAL (Deploy Red)</t>
  </si>
  <si>
    <t>ID_Commit</t>
  </si>
  <si>
    <t>Motor U1</t>
  </si>
  <si>
    <t>TEA (Exp)</t>
  </si>
  <si>
    <t>Motor U2</t>
  </si>
  <si>
    <t>Build (Triang)</t>
  </si>
  <si>
    <t>Motor U3</t>
  </si>
  <si>
    <t>Deploy (LogNorm)</t>
  </si>
  <si>
    <t>Parámetro</t>
  </si>
  <si>
    <t>Valor</t>
  </si>
  <si>
    <t>Promedio (β min)</t>
  </si>
  <si>
    <t>Mínimo (a)</t>
  </si>
  <si>
    <t>Media Log (μ)</t>
  </si>
  <si>
    <t>Moda (c)</t>
  </si>
  <si>
    <t>Desv Log (σ)</t>
  </si>
  <si>
    <t>Validación Exp.</t>
  </si>
  <si>
    <t>Métrica</t>
  </si>
  <si>
    <t>Máximo (b)</t>
  </si>
  <si>
    <t>Promedio Sim.</t>
  </si>
  <si>
    <t>Umbral Inflexión</t>
  </si>
  <si>
    <t>Validación Log.</t>
  </si>
  <si>
    <t>Seco Máx (Ráfaga)</t>
  </si>
  <si>
    <t>Mediana Teórica</t>
  </si>
  <si>
    <t>Validación Tri.</t>
  </si>
  <si>
    <t>Mediana Sim.</t>
  </si>
  <si>
    <t>Rango (min)</t>
  </si>
  <si>
    <t>Frecuencia</t>
  </si>
  <si>
    <t>Promedio Teórico</t>
  </si>
  <si>
    <t>Media Teórica</t>
  </si>
  <si>
    <t>0 - 10</t>
  </si>
  <si>
    <t>Media Sim.</t>
  </si>
  <si>
    <t>10 - 20</t>
  </si>
  <si>
    <t>20 - 30</t>
  </si>
  <si>
    <t>30 - 40</t>
  </si>
  <si>
    <t>3 - 5</t>
  </si>
  <si>
    <t>0 - 3</t>
  </si>
  <si>
    <t>&gt; 40</t>
  </si>
  <si>
    <t>5 - 7</t>
  </si>
  <si>
    <t>3 - 6</t>
  </si>
  <si>
    <t>7 - 9</t>
  </si>
  <si>
    <t>6 - 9</t>
  </si>
  <si>
    <t>9 - 12</t>
  </si>
  <si>
    <t>12 - 15</t>
  </si>
  <si>
    <t>&gt;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</si>
</sst>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  <family val="2"/>
      <scheme val="minor"/>
    </font>
    <font>
      <b/>
      <sz val="18"/>
      <color rgb="FF1A237E"/>
      <name val="Segoe UI"/>
    </font>
    <font>
      <i/>
      <sz val="12"/>
      <color rgb="FF5C6BC0"/>
      <name val="Segoe UI"/>
    </font>
    <font>
      <b/>
      <sz val="10"/>
      <name val="Segoe UI"/>
    </font>
    <font>
      <b/>
      <sz val="11"/>
      <color rgb="FFFFFFFF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283593"/>
        <bgColor rgb="FF283593"/>
      </patternFill>
    </fill>
    <fill>
      <patternFill patternType="solid">
        <fgColor rgb="FFE0F2F1"/>
        <bgColor rgb="FFE0F2F1"/>
      </patternFill>
    </fill>
    <fill>
      <patternFill patternType="solid">
        <fgColor rgb="FFE8EAF6"/>
        <bgColor rgb="FFE8EAF6"/>
      </patternFill>
    </fill>
    <fill>
      <patternFill patternType="solid">
        <fgColor rgb="FFFFF8E1"/>
        <bgColor rgb="FFFFF8E1"/>
      </patternFill>
    </fill>
    <fill>
      <patternFill patternType="solid">
        <fgColor rgb="FFFCE4D6"/>
        <bgColor rgb="FFFCE4D6"/>
      </patternFill>
    </fill>
    <fill>
      <patternFill patternType="solid">
        <fgColor rgb="FFF9FBE7"/>
        <bgColor rgb="FFF9FBE7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D84315"/>
      </font>
      <fill>
        <patternFill patternType="solid">
          <fgColor rgb="FFFFCCBC"/>
          <bgColor rgb="FFFFCCBC"/>
        </patternFill>
      </fill>
    </dxf>
    <dxf>
      <font>
        <b/>
        <color rgb="FFFF6F00"/>
      </font>
      <fill>
        <patternFill patternType="solid">
          <fgColor rgb="FFFFE082"/>
          <bgColor rgb="FFFFE082"/>
        </patternFill>
      </fill>
    </dxf>
    <dxf>
      <font>
        <b/>
        <color rgb="FF1A237E"/>
      </font>
      <fill>
        <patternFill patternType="solid">
          <fgColor rgb="FFC5CAE9"/>
          <bgColor rgb="FFC5CA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1. Llegadas Exponenciales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OmniMarket_Pipeline_Continuo!$J$12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OmniMarket_Pipeline_Continuo!$I$13:$I$17</c:f>
              <c:strCache>
                <c:ptCount val="5"/>
                <c:pt idx="0">
                  <c:v>0 - 10</c:v>
                </c:pt>
                <c:pt idx="1">
                  <c:v>10 - 20</c:v>
                </c:pt>
                <c:pt idx="2">
                  <c:v>20 - 30</c:v>
                </c:pt>
                <c:pt idx="3">
                  <c:v>30 - 40</c:v>
                </c:pt>
                <c:pt idx="4">
                  <c:v>&gt; 40</c:v>
                </c:pt>
              </c:strCache>
            </c:strRef>
          </c:cat>
          <c:val>
            <c:numRef>
              <c:f>OmniMarket_Pipeline_Continuo!$J$13:$J$17</c:f>
              <c:numCache>
                <c:formatCode>General</c:formatCode>
                <c:ptCount val="5"/>
                <c:pt idx="0">
                  <c:v>501</c:v>
                </c:pt>
                <c:pt idx="1">
                  <c:v>239</c:v>
                </c:pt>
                <c:pt idx="2">
                  <c:v>119</c:v>
                </c:pt>
                <c:pt idx="3">
                  <c:v>67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5-48C6-9A1F-F9644DA32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2. Densidad Triangular (Build)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OmniMarket_Pipeline_Continuo!$N$15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OmniMarket_Pipeline_Continuo!$M$16:$M$19</c:f>
              <c:strCache>
                <c:ptCount val="4"/>
                <c:pt idx="0">
                  <c:v>3 - 5</c:v>
                </c:pt>
                <c:pt idx="1">
                  <c:v>5 - 7</c:v>
                </c:pt>
                <c:pt idx="2">
                  <c:v>7 - 9</c:v>
                </c:pt>
                <c:pt idx="3">
                  <c:v>9 - 12</c:v>
                </c:pt>
              </c:strCache>
            </c:strRef>
          </c:cat>
          <c:val>
            <c:numRef>
              <c:f>OmniMarket_Pipeline_Continuo!$N$16:$N$19</c:f>
              <c:numCache>
                <c:formatCode>General</c:formatCode>
                <c:ptCount val="4"/>
                <c:pt idx="0">
                  <c:v>212</c:v>
                </c:pt>
                <c:pt idx="1">
                  <c:v>379</c:v>
                </c:pt>
                <c:pt idx="2">
                  <c:v>261</c:v>
                </c:pt>
                <c:pt idx="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E-4C84-8D8D-A1CF42015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3. Cola Larga (Deploy)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OmniMarket_Pipeline_Continuo!$R$15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OmniMarket_Pipeline_Continuo!$Q$16:$Q$21</c:f>
              <c:strCache>
                <c:ptCount val="6"/>
                <c:pt idx="0">
                  <c:v>0 - 3</c:v>
                </c:pt>
                <c:pt idx="1">
                  <c:v>3 - 6</c:v>
                </c:pt>
                <c:pt idx="2">
                  <c:v>6 - 9</c:v>
                </c:pt>
                <c:pt idx="3">
                  <c:v>9 - 12</c:v>
                </c:pt>
                <c:pt idx="4">
                  <c:v>12 - 15</c:v>
                </c:pt>
                <c:pt idx="5">
                  <c:v>&gt; 15</c:v>
                </c:pt>
              </c:strCache>
            </c:strRef>
          </c:cat>
          <c:val>
            <c:numRef>
              <c:f>OmniMarket_Pipeline_Continuo!$R$16:$R$21</c:f>
              <c:numCache>
                <c:formatCode>General</c:formatCode>
                <c:ptCount val="6"/>
                <c:pt idx="0">
                  <c:v>435</c:v>
                </c:pt>
                <c:pt idx="1">
                  <c:v>395</c:v>
                </c:pt>
                <c:pt idx="2">
                  <c:v>126</c:v>
                </c:pt>
                <c:pt idx="3">
                  <c:v>30</c:v>
                </c:pt>
                <c:pt idx="4">
                  <c:v>10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4-4112-83C0-A52F8F541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18</xdr:row>
      <xdr:rowOff>0</xdr:rowOff>
    </xdr:from>
    <xdr:ext cx="3600000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20</xdr:row>
      <xdr:rowOff>0</xdr:rowOff>
    </xdr:from>
    <xdr:ext cx="3600000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22</xdr:row>
      <xdr:rowOff>0</xdr:rowOff>
    </xdr:from>
    <xdr:ext cx="3600000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5"/>
  <sheetViews>
    <sheetView showGridLines="0" tabSelected="1" workbookViewId="0">
      <selection activeCell="G9" sqref="G9"/>
    </sheetView>
  </sheetViews>
  <sheetFormatPr baseColWidth="10" defaultColWidth="8.7265625" defaultRowHeight="14.5"/>
  <cols>
    <col min="1" max="1" width="10" customWidth="1"/>
    <col min="2" max="2" width="11" customWidth="1"/>
    <col min="3" max="3" width="15" customWidth="1"/>
    <col min="4" max="4" width="11" customWidth="1"/>
    <col min="5" max="5" width="16" customWidth="1"/>
    <col min="6" max="6" width="11" customWidth="1"/>
    <col min="7" max="7" width="18" customWidth="1"/>
    <col min="9" max="9" width="18" customWidth="1"/>
    <col min="10" max="10" width="13" customWidth="1"/>
    <col min="13" max="13" width="18" customWidth="1"/>
    <col min="14" max="14" width="13" customWidth="1"/>
    <col min="17" max="17" width="18" customWidth="1"/>
    <col min="18" max="18" width="13" customWidth="1"/>
  </cols>
  <sheetData>
    <row r="1" spans="1:18" ht="26">
      <c r="A1" s="1" t="s">
        <v>0</v>
      </c>
    </row>
    <row r="2" spans="1:18" ht="17.5">
      <c r="A2" s="2" t="s">
        <v>1</v>
      </c>
    </row>
    <row r="4" spans="1:18" ht="16">
      <c r="I4" s="3" t="s">
        <v>2</v>
      </c>
      <c r="M4" s="3" t="s">
        <v>3</v>
      </c>
      <c r="Q4" s="3" t="s">
        <v>4</v>
      </c>
    </row>
    <row r="5" spans="1:18" ht="16.5">
      <c r="A5" s="4" t="s">
        <v>5</v>
      </c>
      <c r="B5" s="5" t="s">
        <v>6</v>
      </c>
      <c r="C5" s="5" t="s">
        <v>7</v>
      </c>
      <c r="D5" s="6" t="s">
        <v>8</v>
      </c>
      <c r="E5" s="6" t="s">
        <v>9</v>
      </c>
      <c r="F5" s="7" t="s">
        <v>10</v>
      </c>
      <c r="G5" s="7" t="s">
        <v>11</v>
      </c>
      <c r="I5" s="4" t="s">
        <v>12</v>
      </c>
      <c r="J5" s="4" t="s">
        <v>13</v>
      </c>
      <c r="M5" s="4" t="s">
        <v>12</v>
      </c>
      <c r="N5" s="4" t="s">
        <v>13</v>
      </c>
      <c r="Q5" s="4" t="s">
        <v>12</v>
      </c>
      <c r="R5" s="4" t="s">
        <v>13</v>
      </c>
    </row>
    <row r="6" spans="1:18" ht="16">
      <c r="A6" s="8">
        <v>1</v>
      </c>
      <c r="B6" s="9">
        <f t="shared" ref="B6:B69" ca="1" si="0">RAND()</f>
        <v>0.10406415474821262</v>
      </c>
      <c r="C6" s="10">
        <f t="shared" ref="C6:C69" ca="1" si="1">-$J$6 * LN(1 - B6)</f>
        <v>1.64829704778282</v>
      </c>
      <c r="D6" s="9">
        <f t="shared" ref="D6:D69" ca="1" si="2">RAND()</f>
        <v>0.85211868960681114</v>
      </c>
      <c r="E6" s="10">
        <f t="shared" ref="E6:E69" ca="1" si="3">IF(D6&lt;=$N$9, $N$6+SQRT(D6*($N$8-$N$6)*($N$7-$N$6)), $N$8-SQRT((1-D6)*($N$8-$N$6)*($N$8-$N$7)))</f>
        <v>8.9477020861700112</v>
      </c>
      <c r="F6" s="9">
        <f t="shared" ref="F6:F69" ca="1" si="4">RAND()</f>
        <v>0.87944143040862433</v>
      </c>
      <c r="G6" s="10">
        <f ca="1">_xlfn.LOGNORM.INV(F6, $R$6, $R$7)</f>
        <v>6.7081247822099428</v>
      </c>
      <c r="I6" s="11" t="s">
        <v>14</v>
      </c>
      <c r="J6" s="12">
        <v>15</v>
      </c>
      <c r="M6" s="11" t="s">
        <v>15</v>
      </c>
      <c r="N6" s="12">
        <v>3</v>
      </c>
      <c r="Q6" s="11" t="s">
        <v>16</v>
      </c>
      <c r="R6" s="12">
        <v>1.2</v>
      </c>
    </row>
    <row r="7" spans="1:18" ht="16">
      <c r="A7" s="8">
        <v>2</v>
      </c>
      <c r="B7" s="13">
        <f t="shared" ca="1" si="0"/>
        <v>9.00789133038572E-2</v>
      </c>
      <c r="C7" s="14">
        <f t="shared" ca="1" si="1"/>
        <v>1.4159610172167574</v>
      </c>
      <c r="D7" s="13">
        <f t="shared" ca="1" si="2"/>
        <v>0.86837135997010984</v>
      </c>
      <c r="E7" s="14">
        <f t="shared" ca="1" si="3"/>
        <v>9.1203117665477951</v>
      </c>
      <c r="F7" s="13">
        <f t="shared" ca="1" si="4"/>
        <v>0.5553139304844773</v>
      </c>
      <c r="G7" s="10">
        <f t="shared" ref="G7:G70" ca="1" si="5">_xlfn.LOGNORM.INV(F7, $R$6, $R$7)</f>
        <v>3.6091028826399221</v>
      </c>
      <c r="M7" s="11" t="s">
        <v>17</v>
      </c>
      <c r="N7" s="12">
        <v>5</v>
      </c>
      <c r="Q7" s="11" t="s">
        <v>18</v>
      </c>
      <c r="R7" s="12">
        <v>0.6</v>
      </c>
    </row>
    <row r="8" spans="1:18" ht="16.5">
      <c r="A8" s="8">
        <v>3</v>
      </c>
      <c r="B8" s="9">
        <f t="shared" ca="1" si="0"/>
        <v>0.86110154384953042</v>
      </c>
      <c r="C8" s="10">
        <f t="shared" ca="1" si="1"/>
        <v>29.610182161665627</v>
      </c>
      <c r="D8" s="9">
        <f t="shared" ca="1" si="2"/>
        <v>0.50039707970397418</v>
      </c>
      <c r="E8" s="10">
        <f t="shared" ca="1" si="3"/>
        <v>6.3897429667929098</v>
      </c>
      <c r="F8" s="9">
        <f t="shared" ca="1" si="4"/>
        <v>6.8698342823153014E-2</v>
      </c>
      <c r="G8" s="10">
        <f t="shared" ca="1" si="5"/>
        <v>1.3616083246482549</v>
      </c>
      <c r="I8" s="15" t="s">
        <v>19</v>
      </c>
      <c r="J8" s="15" t="s">
        <v>20</v>
      </c>
      <c r="M8" s="11" t="s">
        <v>21</v>
      </c>
      <c r="N8" s="12">
        <v>12</v>
      </c>
    </row>
    <row r="9" spans="1:18" ht="16.5">
      <c r="A9" s="8">
        <v>4</v>
      </c>
      <c r="B9" s="13">
        <f t="shared" ca="1" si="0"/>
        <v>0.12843414691657706</v>
      </c>
      <c r="C9" s="14">
        <f t="shared" ca="1" si="1"/>
        <v>2.0619578093752819</v>
      </c>
      <c r="D9" s="13">
        <f t="shared" ca="1" si="2"/>
        <v>0.51912130311746796</v>
      </c>
      <c r="E9" s="14">
        <f t="shared" ca="1" si="3"/>
        <v>6.4958780987700209</v>
      </c>
      <c r="F9" s="13">
        <f t="shared" ca="1" si="4"/>
        <v>0.81240074330557488</v>
      </c>
      <c r="G9" s="10">
        <f t="shared" ca="1" si="5"/>
        <v>5.6523235701178489</v>
      </c>
      <c r="I9" s="16" t="s">
        <v>22</v>
      </c>
      <c r="J9" s="17">
        <f ca="1">AVERAGE(C6:C1005)</f>
        <v>14.944033862684659</v>
      </c>
      <c r="M9" s="11" t="s">
        <v>23</v>
      </c>
      <c r="N9" s="18">
        <f>(N7-N6)/(N8-N6)</f>
        <v>0.22222222222222221</v>
      </c>
      <c r="Q9" s="15" t="s">
        <v>24</v>
      </c>
      <c r="R9" s="15" t="s">
        <v>20</v>
      </c>
    </row>
    <row r="10" spans="1:18" ht="16">
      <c r="A10" s="8">
        <v>5</v>
      </c>
      <c r="B10" s="9">
        <f t="shared" ca="1" si="0"/>
        <v>0.45923678949358582</v>
      </c>
      <c r="C10" s="10">
        <f t="shared" ca="1" si="1"/>
        <v>9.221606767156846</v>
      </c>
      <c r="D10" s="9">
        <f t="shared" ca="1" si="2"/>
        <v>0.84822062180120927</v>
      </c>
      <c r="E10" s="10">
        <f t="shared" ca="1" si="3"/>
        <v>8.9077353239860244</v>
      </c>
      <c r="F10" s="9">
        <f t="shared" ca="1" si="4"/>
        <v>0.85511510989142503</v>
      </c>
      <c r="G10" s="10">
        <f t="shared" ca="1" si="5"/>
        <v>6.2662373777091771</v>
      </c>
      <c r="I10" s="16" t="s">
        <v>25</v>
      </c>
      <c r="J10" s="19">
        <f ca="1">MAX(C6:C1005)</f>
        <v>102.60173445229971</v>
      </c>
      <c r="Q10" s="16" t="s">
        <v>26</v>
      </c>
      <c r="R10" s="17">
        <f>EXP(R6)</f>
        <v>3.3201169227365472</v>
      </c>
    </row>
    <row r="11" spans="1:18" ht="16.5">
      <c r="A11" s="8">
        <v>6</v>
      </c>
      <c r="B11" s="13">
        <f t="shared" ca="1" si="0"/>
        <v>0.11599978731432103</v>
      </c>
      <c r="C11" s="14">
        <f t="shared" ca="1" si="1"/>
        <v>1.8494696362479464</v>
      </c>
      <c r="D11" s="13">
        <f t="shared" ca="1" si="2"/>
        <v>0.6305616647453296</v>
      </c>
      <c r="E11" s="14">
        <f t="shared" ca="1" si="3"/>
        <v>7.1756228255821215</v>
      </c>
      <c r="F11" s="13">
        <f t="shared" ca="1" si="4"/>
        <v>0.48766383957301906</v>
      </c>
      <c r="G11" s="10">
        <f t="shared" ca="1" si="5"/>
        <v>3.2590760702535557</v>
      </c>
      <c r="M11" s="15" t="s">
        <v>27</v>
      </c>
      <c r="N11" s="15" t="s">
        <v>20</v>
      </c>
      <c r="Q11" s="16" t="s">
        <v>28</v>
      </c>
      <c r="R11" s="17">
        <f ca="1">MEDIAN(G6:G1005)</f>
        <v>3.2540056529899122</v>
      </c>
    </row>
    <row r="12" spans="1:18" ht="16.5">
      <c r="A12" s="8">
        <v>7</v>
      </c>
      <c r="B12" s="9">
        <f t="shared" ca="1" si="0"/>
        <v>0.61852018396174935</v>
      </c>
      <c r="C12" s="10">
        <f t="shared" ca="1" si="1"/>
        <v>14.455460047548643</v>
      </c>
      <c r="D12" s="9">
        <f t="shared" ca="1" si="2"/>
        <v>0.37783183613711702</v>
      </c>
      <c r="E12" s="10">
        <f t="shared" ca="1" si="3"/>
        <v>5.7392816447821566</v>
      </c>
      <c r="F12" s="9">
        <f t="shared" ca="1" si="4"/>
        <v>0.54123915218365781</v>
      </c>
      <c r="G12" s="10">
        <f t="shared" ca="1" si="5"/>
        <v>3.5329513864039614</v>
      </c>
      <c r="I12" s="4" t="s">
        <v>29</v>
      </c>
      <c r="J12" s="4" t="s">
        <v>30</v>
      </c>
      <c r="M12" s="16" t="s">
        <v>31</v>
      </c>
      <c r="N12" s="17">
        <f>(N6+N8+N7)/3</f>
        <v>6.666666666666667</v>
      </c>
      <c r="Q12" s="16" t="s">
        <v>32</v>
      </c>
      <c r="R12" s="17">
        <f>EXP(R6+(R7^2)/2)</f>
        <v>3.9749016274947477</v>
      </c>
    </row>
    <row r="13" spans="1:18" ht="16">
      <c r="A13" s="8">
        <v>8</v>
      </c>
      <c r="B13" s="13">
        <f t="shared" ca="1" si="0"/>
        <v>0.94790685015034548</v>
      </c>
      <c r="C13" s="14">
        <f t="shared" ca="1" si="1"/>
        <v>44.320827295199237</v>
      </c>
      <c r="D13" s="13">
        <f t="shared" ca="1" si="2"/>
        <v>0.64367316219326398</v>
      </c>
      <c r="E13" s="14">
        <f t="shared" ca="1" si="3"/>
        <v>7.2620056161045978</v>
      </c>
      <c r="F13" s="13">
        <f t="shared" ca="1" si="4"/>
        <v>0.14461688065430556</v>
      </c>
      <c r="G13" s="10">
        <f t="shared" ca="1" si="5"/>
        <v>1.7578958951309853</v>
      </c>
      <c r="I13" s="11" t="s">
        <v>33</v>
      </c>
      <c r="J13" s="20">
        <f ca="1">COUNTIFS($C$6:$C$1005, "&gt;="&amp;0, $C$6:$C$1005, "&lt;"&amp;10)</f>
        <v>501</v>
      </c>
      <c r="M13" s="16" t="s">
        <v>22</v>
      </c>
      <c r="N13" s="17">
        <f ca="1">AVERAGE(E6:E1005)</f>
        <v>6.6814567140025067</v>
      </c>
      <c r="Q13" s="16" t="s">
        <v>34</v>
      </c>
      <c r="R13" s="17">
        <f ca="1">AVERAGE(G6:G1005)</f>
        <v>3.9359829801905253</v>
      </c>
    </row>
    <row r="14" spans="1:18" ht="16">
      <c r="A14" s="8">
        <v>9</v>
      </c>
      <c r="B14" s="9">
        <f t="shared" ca="1" si="0"/>
        <v>0.9130979031904608</v>
      </c>
      <c r="C14" s="10">
        <f t="shared" ca="1" si="1"/>
        <v>36.644596770125148</v>
      </c>
      <c r="D14" s="9">
        <f t="shared" ca="1" si="2"/>
        <v>0.63299431880684087</v>
      </c>
      <c r="E14" s="10">
        <f t="shared" ca="1" si="3"/>
        <v>7.1915326854423745</v>
      </c>
      <c r="F14" s="9">
        <f t="shared" ca="1" si="4"/>
        <v>0.26064282943770056</v>
      </c>
      <c r="G14" s="10">
        <f t="shared" ca="1" si="5"/>
        <v>2.2595848115154662</v>
      </c>
      <c r="I14" s="11" t="s">
        <v>35</v>
      </c>
      <c r="J14" s="20">
        <f ca="1">COUNTIFS($C$6:$C$1005, "&gt;="&amp;10, $C$6:$C$1005, "&lt;"&amp;20)</f>
        <v>239</v>
      </c>
    </row>
    <row r="15" spans="1:18" ht="16.5">
      <c r="A15" s="8">
        <v>10</v>
      </c>
      <c r="B15" s="13">
        <f t="shared" ca="1" si="0"/>
        <v>0.11324466779506237</v>
      </c>
      <c r="C15" s="14">
        <f t="shared" ca="1" si="1"/>
        <v>1.8027925822000224</v>
      </c>
      <c r="D15" s="13">
        <f t="shared" ca="1" si="2"/>
        <v>0.13223452684357861</v>
      </c>
      <c r="E15" s="14">
        <f t="shared" ca="1" si="3"/>
        <v>4.5427966434966134</v>
      </c>
      <c r="F15" s="13">
        <f t="shared" ca="1" si="4"/>
        <v>0.7251998351520047</v>
      </c>
      <c r="G15" s="10">
        <f t="shared" ca="1" si="5"/>
        <v>4.7541383878344714</v>
      </c>
      <c r="I15" s="11" t="s">
        <v>36</v>
      </c>
      <c r="J15" s="20">
        <f ca="1">COUNTIFS($C$6:$C$1005, "&gt;="&amp;20, $C$6:$C$1005, "&lt;"&amp;30)</f>
        <v>119</v>
      </c>
      <c r="M15" s="4" t="s">
        <v>29</v>
      </c>
      <c r="N15" s="4" t="s">
        <v>30</v>
      </c>
      <c r="Q15" s="4" t="s">
        <v>29</v>
      </c>
      <c r="R15" s="4" t="s">
        <v>30</v>
      </c>
    </row>
    <row r="16" spans="1:18" ht="16">
      <c r="A16" s="8">
        <v>11</v>
      </c>
      <c r="B16" s="9">
        <f t="shared" ca="1" si="0"/>
        <v>6.424168607718872E-2</v>
      </c>
      <c r="C16" s="10">
        <f t="shared" ca="1" si="1"/>
        <v>0.99597071201750142</v>
      </c>
      <c r="D16" s="9">
        <f t="shared" ca="1" si="2"/>
        <v>0.74523699220916384</v>
      </c>
      <c r="E16" s="10">
        <f t="shared" ca="1" si="3"/>
        <v>7.9937462023952257</v>
      </c>
      <c r="F16" s="9">
        <f t="shared" ca="1" si="4"/>
        <v>0.19813840145118722</v>
      </c>
      <c r="G16" s="10">
        <f t="shared" ca="1" si="5"/>
        <v>1.9957628180555795</v>
      </c>
      <c r="I16" s="11" t="s">
        <v>37</v>
      </c>
      <c r="J16" s="20">
        <f ca="1">COUNTIFS($C$6:$C$1005, "&gt;="&amp;30, $C$6:$C$1005, "&lt;"&amp;40)</f>
        <v>67</v>
      </c>
      <c r="M16" s="11" t="s">
        <v>38</v>
      </c>
      <c r="N16" s="20">
        <f ca="1">COUNTIFS($E$6:$E$1005, "&gt;="&amp;3, $E$6:$E$1005, "&lt;"&amp;5)</f>
        <v>212</v>
      </c>
      <c r="Q16" s="11" t="s">
        <v>39</v>
      </c>
      <c r="R16" s="20">
        <f ca="1">COUNTIFS($G$6:$G$1005, "&gt;="&amp;0, $G$6:$G$1005, "&lt;"&amp;3)</f>
        <v>435</v>
      </c>
    </row>
    <row r="17" spans="1:18" ht="16">
      <c r="A17" s="8">
        <v>12</v>
      </c>
      <c r="B17" s="13">
        <f t="shared" ca="1" si="0"/>
        <v>0.17374414465121601</v>
      </c>
      <c r="C17" s="14">
        <f t="shared" ca="1" si="1"/>
        <v>2.8627620177936302</v>
      </c>
      <c r="D17" s="13">
        <f t="shared" ca="1" si="2"/>
        <v>0.17279380935525146</v>
      </c>
      <c r="E17" s="14">
        <f t="shared" ca="1" si="3"/>
        <v>4.7636010230192447</v>
      </c>
      <c r="F17" s="13">
        <f t="shared" ca="1" si="4"/>
        <v>0.4281533957231608</v>
      </c>
      <c r="G17" s="10">
        <f t="shared" ca="1" si="5"/>
        <v>2.9783025837758426</v>
      </c>
      <c r="I17" s="11" t="s">
        <v>40</v>
      </c>
      <c r="J17" s="20">
        <f ca="1">COUNTIF($C$6:$C$1005, "&gt;=40")</f>
        <v>74</v>
      </c>
      <c r="M17" s="11" t="s">
        <v>41</v>
      </c>
      <c r="N17" s="20">
        <f ca="1">COUNTIFS($E$6:$E$1005, "&gt;="&amp;5, $E$6:$E$1005, "&lt;"&amp;7)</f>
        <v>379</v>
      </c>
      <c r="Q17" s="11" t="s">
        <v>42</v>
      </c>
      <c r="R17" s="20">
        <f ca="1">COUNTIFS($G$6:$G$1005, "&gt;="&amp;3, $G$6:$G$1005, "&lt;"&amp;6)</f>
        <v>395</v>
      </c>
    </row>
    <row r="18" spans="1:18" ht="16">
      <c r="A18" s="8">
        <v>13</v>
      </c>
      <c r="B18" s="9">
        <f t="shared" ca="1" si="0"/>
        <v>0.39160319343301198</v>
      </c>
      <c r="C18" s="10">
        <f t="shared" ca="1" si="1"/>
        <v>7.4539195127171443</v>
      </c>
      <c r="D18" s="9">
        <f t="shared" ca="1" si="2"/>
        <v>0.65918338191043679</v>
      </c>
      <c r="E18" s="10">
        <f t="shared" ca="1" si="3"/>
        <v>7.3662707308645574</v>
      </c>
      <c r="F18" s="9">
        <f t="shared" ca="1" si="4"/>
        <v>0.60090792804954907</v>
      </c>
      <c r="G18" s="10">
        <f t="shared" ca="1" si="5"/>
        <v>3.8706355523437703</v>
      </c>
      <c r="M18" s="11" t="s">
        <v>43</v>
      </c>
      <c r="N18" s="20">
        <f ca="1">COUNTIFS($E$6:$E$1005, "&gt;="&amp;7, $E$6:$E$1005, "&lt;"&amp;9)</f>
        <v>261</v>
      </c>
      <c r="Q18" s="11" t="s">
        <v>44</v>
      </c>
      <c r="R18" s="20">
        <f ca="1">COUNTIFS($G$6:$G$1005, "&gt;="&amp;6, $G$6:$G$1005, "&lt;"&amp;9)</f>
        <v>126</v>
      </c>
    </row>
    <row r="19" spans="1:18" ht="16">
      <c r="A19" s="8">
        <v>14</v>
      </c>
      <c r="B19" s="13">
        <f t="shared" ca="1" si="0"/>
        <v>0.47610762236949133</v>
      </c>
      <c r="C19" s="14">
        <f t="shared" ca="1" si="1"/>
        <v>9.6970350293557281</v>
      </c>
      <c r="D19" s="13">
        <f t="shared" ca="1" si="2"/>
        <v>0.51232690757721466</v>
      </c>
      <c r="E19" s="14">
        <f t="shared" ca="1" si="3"/>
        <v>6.4571302719046813</v>
      </c>
      <c r="F19" s="13">
        <f t="shared" ca="1" si="4"/>
        <v>0.49199948456781162</v>
      </c>
      <c r="G19" s="10">
        <f t="shared" ca="1" si="5"/>
        <v>3.2804040554103344</v>
      </c>
      <c r="M19" s="11" t="s">
        <v>45</v>
      </c>
      <c r="N19" s="20">
        <f ca="1">COUNTIFS($E$6:$E$1005, "&gt;="&amp;9, $E$6:$E$1005, "&lt;"&amp;12)</f>
        <v>148</v>
      </c>
      <c r="Q19" s="11" t="s">
        <v>45</v>
      </c>
      <c r="R19" s="20">
        <f ca="1">COUNTIFS($G$6:$G$1005, "&gt;="&amp;9, $G$6:$G$1005, "&lt;"&amp;12)</f>
        <v>30</v>
      </c>
    </row>
    <row r="20" spans="1:18" ht="16">
      <c r="A20" s="8">
        <v>15</v>
      </c>
      <c r="B20" s="9">
        <f t="shared" ca="1" si="0"/>
        <v>9.4515623820251804E-2</v>
      </c>
      <c r="C20" s="10">
        <f t="shared" ca="1" si="1"/>
        <v>1.489278842467713</v>
      </c>
      <c r="D20" s="9">
        <f t="shared" ca="1" si="2"/>
        <v>0.26501247032394271</v>
      </c>
      <c r="E20" s="10">
        <f t="shared" ca="1" si="3"/>
        <v>5.1952799932993861</v>
      </c>
      <c r="F20" s="9">
        <f t="shared" ca="1" si="4"/>
        <v>0.82404859634372962</v>
      </c>
      <c r="G20" s="10">
        <f t="shared" ca="1" si="5"/>
        <v>5.8039741703704477</v>
      </c>
      <c r="Q20" s="11" t="s">
        <v>46</v>
      </c>
      <c r="R20" s="20">
        <f ca="1">COUNTIFS($G$6:$G$1005, "&gt;="&amp;12, $G$6:$G$1005, "&lt;"&amp;15)</f>
        <v>10</v>
      </c>
    </row>
    <row r="21" spans="1:18" ht="16">
      <c r="A21" s="8">
        <v>16</v>
      </c>
      <c r="B21" s="13">
        <f t="shared" ca="1" si="0"/>
        <v>0.5776804457500343</v>
      </c>
      <c r="C21" s="14">
        <f t="shared" ca="1" si="1"/>
        <v>12.92989520920008</v>
      </c>
      <c r="D21" s="13">
        <f t="shared" ca="1" si="2"/>
        <v>0.86469802687940656</v>
      </c>
      <c r="E21" s="14">
        <f t="shared" ca="1" si="3"/>
        <v>9.0804068251557055</v>
      </c>
      <c r="F21" s="13">
        <f t="shared" ca="1" si="4"/>
        <v>0.44828866246804011</v>
      </c>
      <c r="G21" s="10">
        <f t="shared" ca="1" si="5"/>
        <v>3.0710154270013201</v>
      </c>
      <c r="Q21" s="11" t="s">
        <v>47</v>
      </c>
      <c r="R21" s="20">
        <f ca="1">COUNTIF($G$6:$G$1005, "&gt;=15")</f>
        <v>4</v>
      </c>
    </row>
    <row r="22" spans="1:18">
      <c r="A22" s="8">
        <v>17</v>
      </c>
      <c r="B22" s="9">
        <f t="shared" ca="1" si="0"/>
        <v>0.51418116688306836</v>
      </c>
      <c r="C22" s="10">
        <f t="shared" ca="1" si="1"/>
        <v>10.828792439137469</v>
      </c>
      <c r="D22" s="9">
        <f t="shared" ca="1" si="2"/>
        <v>0.13086867750928255</v>
      </c>
      <c r="E22" s="10">
        <f t="shared" ca="1" si="3"/>
        <v>4.5348081949113661</v>
      </c>
      <c r="F22" s="9">
        <f t="shared" ca="1" si="4"/>
        <v>0.97719558852810573</v>
      </c>
      <c r="G22" s="10">
        <f t="shared" ca="1" si="5"/>
        <v>11.01653580222883</v>
      </c>
    </row>
    <row r="23" spans="1:18">
      <c r="A23" s="8">
        <v>18</v>
      </c>
      <c r="B23" s="13">
        <f t="shared" ca="1" si="0"/>
        <v>5.8167975910167868E-2</v>
      </c>
      <c r="C23" s="14">
        <f t="shared" ca="1" si="1"/>
        <v>0.89892508023540385</v>
      </c>
      <c r="D23" s="13">
        <f t="shared" ca="1" si="2"/>
        <v>0.672230940867246</v>
      </c>
      <c r="E23" s="14">
        <f t="shared" ca="1" si="3"/>
        <v>7.4558333299312736</v>
      </c>
      <c r="F23" s="13">
        <f t="shared" ca="1" si="4"/>
        <v>0.17939950320239262</v>
      </c>
      <c r="G23" s="10">
        <f t="shared" ca="1" si="5"/>
        <v>1.9144041374111938</v>
      </c>
    </row>
    <row r="24" spans="1:18">
      <c r="A24" s="8">
        <v>19</v>
      </c>
      <c r="B24" s="9">
        <f t="shared" ca="1" si="0"/>
        <v>0.13839255492790992</v>
      </c>
      <c r="C24" s="10">
        <f t="shared" ca="1" si="1"/>
        <v>2.2343326828945704</v>
      </c>
      <c r="D24" s="9">
        <f t="shared" ca="1" si="2"/>
        <v>0.98877177521824056</v>
      </c>
      <c r="E24" s="10">
        <f t="shared" ca="1" si="3"/>
        <v>11.158942236674052</v>
      </c>
      <c r="F24" s="9">
        <f t="shared" ca="1" si="4"/>
        <v>0.43242897636265498</v>
      </c>
      <c r="G24" s="10">
        <f t="shared" ca="1" si="5"/>
        <v>2.9978156052235283</v>
      </c>
    </row>
    <row r="25" spans="1:18">
      <c r="A25" s="8">
        <v>20</v>
      </c>
      <c r="B25" s="13">
        <f t="shared" ca="1" si="0"/>
        <v>0.39528904080696792</v>
      </c>
      <c r="C25" s="14">
        <f t="shared" ca="1" si="1"/>
        <v>7.5450703276763988</v>
      </c>
      <c r="D25" s="13">
        <f t="shared" ca="1" si="2"/>
        <v>2.4040294056585587E-2</v>
      </c>
      <c r="E25" s="14">
        <f t="shared" ca="1" si="3"/>
        <v>3.6578185867080228</v>
      </c>
      <c r="F25" s="13">
        <f t="shared" ca="1" si="4"/>
        <v>0.92520073663371005</v>
      </c>
      <c r="G25" s="10">
        <f t="shared" ca="1" si="5"/>
        <v>7.8819126720270711</v>
      </c>
    </row>
    <row r="26" spans="1:18">
      <c r="A26" s="8">
        <v>21</v>
      </c>
      <c r="B26" s="9">
        <f t="shared" ca="1" si="0"/>
        <v>0.92677583618339909</v>
      </c>
      <c r="C26" s="10">
        <f t="shared" ca="1" si="1"/>
        <v>39.213447085559437</v>
      </c>
      <c r="D26" s="9">
        <f t="shared" ca="1" si="2"/>
        <v>0.47078584723395178</v>
      </c>
      <c r="E26" s="10">
        <f t="shared" ca="1" si="3"/>
        <v>6.2258774152031515</v>
      </c>
      <c r="F26" s="9">
        <f t="shared" ca="1" si="4"/>
        <v>0.94605418144327602</v>
      </c>
      <c r="G26" s="10">
        <f t="shared" ca="1" si="5"/>
        <v>8.7115119270145271</v>
      </c>
    </row>
    <row r="27" spans="1:18">
      <c r="A27" s="8">
        <v>22</v>
      </c>
      <c r="B27" s="13">
        <f t="shared" ca="1" si="0"/>
        <v>0.14981755166767852</v>
      </c>
      <c r="C27" s="14">
        <f t="shared" ca="1" si="1"/>
        <v>2.4345646115083355</v>
      </c>
      <c r="D27" s="13">
        <f t="shared" ca="1" si="2"/>
        <v>0.54298155278041838</v>
      </c>
      <c r="E27" s="14">
        <f t="shared" ca="1" si="3"/>
        <v>6.6341671499352826</v>
      </c>
      <c r="F27" s="13">
        <f t="shared" ca="1" si="4"/>
        <v>0.47302653805757533</v>
      </c>
      <c r="G27" s="10">
        <f t="shared" ca="1" si="5"/>
        <v>3.1880249157842164</v>
      </c>
    </row>
    <row r="28" spans="1:18">
      <c r="A28" s="8">
        <v>23</v>
      </c>
      <c r="B28" s="9">
        <f t="shared" ca="1" si="0"/>
        <v>0.63251389993019069</v>
      </c>
      <c r="C28" s="10">
        <f t="shared" ca="1" si="1"/>
        <v>15.01604675975768</v>
      </c>
      <c r="D28" s="9">
        <f t="shared" ca="1" si="2"/>
        <v>0.78094559995250956</v>
      </c>
      <c r="E28" s="10">
        <f t="shared" ca="1" si="3"/>
        <v>8.2851073766538157</v>
      </c>
      <c r="F28" s="9">
        <f t="shared" ca="1" si="4"/>
        <v>0.41966376655304405</v>
      </c>
      <c r="G28" s="10">
        <f t="shared" ca="1" si="5"/>
        <v>2.9398182754798299</v>
      </c>
    </row>
    <row r="29" spans="1:18">
      <c r="A29" s="8">
        <v>24</v>
      </c>
      <c r="B29" s="13">
        <f t="shared" ca="1" si="0"/>
        <v>0.93811900564620399</v>
      </c>
      <c r="C29" s="14">
        <f t="shared" ca="1" si="1"/>
        <v>41.738132765107622</v>
      </c>
      <c r="D29" s="13">
        <f t="shared" ca="1" si="2"/>
        <v>0.82633224182270981</v>
      </c>
      <c r="E29" s="14">
        <f t="shared" ca="1" si="3"/>
        <v>8.6922713585952547</v>
      </c>
      <c r="F29" s="13">
        <f t="shared" ca="1" si="4"/>
        <v>0.4122823957397469</v>
      </c>
      <c r="G29" s="10">
        <f t="shared" ca="1" si="5"/>
        <v>2.9066272266141944</v>
      </c>
    </row>
    <row r="30" spans="1:18">
      <c r="A30" s="8">
        <v>25</v>
      </c>
      <c r="B30" s="9">
        <f t="shared" ca="1" si="0"/>
        <v>0.47062736628705393</v>
      </c>
      <c r="C30" s="10">
        <f t="shared" ca="1" si="1"/>
        <v>9.5409402532432015</v>
      </c>
      <c r="D30" s="9">
        <f t="shared" ca="1" si="2"/>
        <v>0.10118061550789992</v>
      </c>
      <c r="E30" s="10">
        <f t="shared" ca="1" si="3"/>
        <v>4.3495373574459499</v>
      </c>
      <c r="F30" s="9">
        <f t="shared" ca="1" si="4"/>
        <v>5.6470407738608008E-2</v>
      </c>
      <c r="G30" s="10">
        <f t="shared" ca="1" si="5"/>
        <v>1.2826555845887282</v>
      </c>
    </row>
    <row r="31" spans="1:18">
      <c r="A31" s="8">
        <v>26</v>
      </c>
      <c r="B31" s="13">
        <f t="shared" ca="1" si="0"/>
        <v>0.60198761236590959</v>
      </c>
      <c r="C31" s="14">
        <f t="shared" ca="1" si="1"/>
        <v>13.819082242099398</v>
      </c>
      <c r="D31" s="13">
        <f t="shared" ca="1" si="2"/>
        <v>0.69074501793423249</v>
      </c>
      <c r="E31" s="14">
        <f t="shared" ca="1" si="3"/>
        <v>7.5860376224821131</v>
      </c>
      <c r="F31" s="13">
        <f t="shared" ca="1" si="4"/>
        <v>0.22229725437363379</v>
      </c>
      <c r="G31" s="10">
        <f t="shared" ca="1" si="5"/>
        <v>2.098715211472348</v>
      </c>
    </row>
    <row r="32" spans="1:18">
      <c r="A32" s="8">
        <v>27</v>
      </c>
      <c r="B32" s="9">
        <f t="shared" ca="1" si="0"/>
        <v>0.14636950642556912</v>
      </c>
      <c r="C32" s="10">
        <f t="shared" ca="1" si="1"/>
        <v>2.373852842080769</v>
      </c>
      <c r="D32" s="9">
        <f t="shared" ca="1" si="2"/>
        <v>0.41945339155847572</v>
      </c>
      <c r="E32" s="10">
        <f t="shared" ca="1" si="3"/>
        <v>5.9523197561531056</v>
      </c>
      <c r="F32" s="9">
        <f t="shared" ca="1" si="4"/>
        <v>0.26193503900347248</v>
      </c>
      <c r="G32" s="10">
        <f t="shared" ca="1" si="5"/>
        <v>2.2649785699742071</v>
      </c>
    </row>
    <row r="33" spans="1:7">
      <c r="A33" s="8">
        <v>28</v>
      </c>
      <c r="B33" s="13">
        <f t="shared" ca="1" si="0"/>
        <v>0.26649199455559125</v>
      </c>
      <c r="C33" s="14">
        <f t="shared" ca="1" si="1"/>
        <v>4.6487515113602678</v>
      </c>
      <c r="D33" s="13">
        <f t="shared" ca="1" si="2"/>
        <v>4.3363460032795897E-2</v>
      </c>
      <c r="E33" s="14">
        <f t="shared" ca="1" si="3"/>
        <v>3.8834830392205197</v>
      </c>
      <c r="F33" s="13">
        <f t="shared" ca="1" si="4"/>
        <v>0.93407534812945703</v>
      </c>
      <c r="G33" s="10">
        <f t="shared" ca="1" si="5"/>
        <v>8.1997982202927311</v>
      </c>
    </row>
    <row r="34" spans="1:7">
      <c r="A34" s="8">
        <v>29</v>
      </c>
      <c r="B34" s="9">
        <f t="shared" ca="1" si="0"/>
        <v>3.862900923477619E-2</v>
      </c>
      <c r="C34" s="10">
        <f t="shared" ca="1" si="1"/>
        <v>0.59092346890103131</v>
      </c>
      <c r="D34" s="9">
        <f t="shared" ca="1" si="2"/>
        <v>0.73507654642038212</v>
      </c>
      <c r="E34" s="10">
        <f t="shared" ca="1" si="3"/>
        <v>7.9146386236324302</v>
      </c>
      <c r="F34" s="9">
        <f t="shared" ca="1" si="4"/>
        <v>0.72294934834942737</v>
      </c>
      <c r="G34" s="10">
        <f t="shared" ca="1" si="5"/>
        <v>4.7349699558713185</v>
      </c>
    </row>
    <row r="35" spans="1:7">
      <c r="A35" s="8">
        <v>30</v>
      </c>
      <c r="B35" s="13">
        <f t="shared" ca="1" si="0"/>
        <v>0.98745596302435101</v>
      </c>
      <c r="C35" s="14">
        <f t="shared" ca="1" si="1"/>
        <v>65.677648015534956</v>
      </c>
      <c r="D35" s="13">
        <f t="shared" ca="1" si="2"/>
        <v>0.53157926188791205</v>
      </c>
      <c r="E35" s="14">
        <f t="shared" ca="1" si="3"/>
        <v>6.5676426386823978</v>
      </c>
      <c r="F35" s="13">
        <f t="shared" ca="1" si="4"/>
        <v>0.39043145037533422</v>
      </c>
      <c r="G35" s="10">
        <f t="shared" ca="1" si="5"/>
        <v>2.8097153467841456</v>
      </c>
    </row>
    <row r="36" spans="1:7">
      <c r="A36" s="8">
        <v>31</v>
      </c>
      <c r="B36" s="9">
        <f t="shared" ca="1" si="0"/>
        <v>0.1072466879078523</v>
      </c>
      <c r="C36" s="10">
        <f t="shared" ca="1" si="1"/>
        <v>1.7016747378908577</v>
      </c>
      <c r="D36" s="9">
        <f t="shared" ca="1" si="2"/>
        <v>0.30939066289409611</v>
      </c>
      <c r="E36" s="10">
        <f t="shared" ca="1" si="3"/>
        <v>5.4039111408599148</v>
      </c>
      <c r="F36" s="9">
        <f t="shared" ca="1" si="4"/>
        <v>0.4545399293072514</v>
      </c>
      <c r="G36" s="10">
        <f t="shared" ca="1" si="5"/>
        <v>3.1002428874730055</v>
      </c>
    </row>
    <row r="37" spans="1:7">
      <c r="A37" s="8">
        <v>32</v>
      </c>
      <c r="B37" s="13">
        <f t="shared" ca="1" si="0"/>
        <v>0.19543557727530747</v>
      </c>
      <c r="C37" s="14">
        <f t="shared" ca="1" si="1"/>
        <v>3.2618135668270321</v>
      </c>
      <c r="D37" s="13">
        <f t="shared" ca="1" si="2"/>
        <v>0.13690114366046935</v>
      </c>
      <c r="E37" s="14">
        <f t="shared" ca="1" si="3"/>
        <v>4.5697836111669812</v>
      </c>
      <c r="F37" s="13">
        <f t="shared" ca="1" si="4"/>
        <v>0.97391260647695954</v>
      </c>
      <c r="G37" s="10">
        <f t="shared" ca="1" si="5"/>
        <v>10.644180083887637</v>
      </c>
    </row>
    <row r="38" spans="1:7">
      <c r="A38" s="8">
        <v>33</v>
      </c>
      <c r="B38" s="9">
        <f t="shared" ca="1" si="0"/>
        <v>0.97523545534905154</v>
      </c>
      <c r="C38" s="10">
        <f t="shared" ca="1" si="1"/>
        <v>55.475134498634063</v>
      </c>
      <c r="D38" s="9">
        <f t="shared" ca="1" si="2"/>
        <v>0.55478487508477803</v>
      </c>
      <c r="E38" s="10">
        <f t="shared" ca="1" si="3"/>
        <v>6.7039115500532862</v>
      </c>
      <c r="F38" s="9">
        <f t="shared" ca="1" si="4"/>
        <v>0.4779860091955197</v>
      </c>
      <c r="G38" s="10">
        <f t="shared" ca="1" si="5"/>
        <v>3.2119384866544607</v>
      </c>
    </row>
    <row r="39" spans="1:7">
      <c r="A39" s="8">
        <v>34</v>
      </c>
      <c r="B39" s="13">
        <f t="shared" ca="1" si="0"/>
        <v>0.1667377059781352</v>
      </c>
      <c r="C39" s="14">
        <f t="shared" ca="1" si="1"/>
        <v>2.7361021140219552</v>
      </c>
      <c r="D39" s="13">
        <f t="shared" ca="1" si="2"/>
        <v>0.99073297503197888</v>
      </c>
      <c r="E39" s="14">
        <f t="shared" ca="1" si="3"/>
        <v>11.235917168766807</v>
      </c>
      <c r="F39" s="13">
        <f t="shared" ca="1" si="4"/>
        <v>0.9237683127033095</v>
      </c>
      <c r="G39" s="10">
        <f t="shared" ca="1" si="5"/>
        <v>7.8344492971281925</v>
      </c>
    </row>
    <row r="40" spans="1:7">
      <c r="A40" s="8">
        <v>35</v>
      </c>
      <c r="B40" s="9">
        <f t="shared" ca="1" si="0"/>
        <v>0.98063331641477336</v>
      </c>
      <c r="C40" s="10">
        <f t="shared" ca="1" si="1"/>
        <v>59.163015453015383</v>
      </c>
      <c r="D40" s="9">
        <f t="shared" ca="1" si="2"/>
        <v>0.42499382957301834</v>
      </c>
      <c r="E40" s="10">
        <f t="shared" ca="1" si="3"/>
        <v>5.9812469117848135</v>
      </c>
      <c r="F40" s="9">
        <f t="shared" ca="1" si="4"/>
        <v>0.80385178795100276</v>
      </c>
      <c r="G40" s="10">
        <f t="shared" ca="1" si="5"/>
        <v>5.5471047510068852</v>
      </c>
    </row>
    <row r="41" spans="1:7">
      <c r="A41" s="8">
        <v>36</v>
      </c>
      <c r="B41" s="13">
        <f t="shared" ca="1" si="0"/>
        <v>0.41395711196488194</v>
      </c>
      <c r="C41" s="14">
        <f t="shared" ca="1" si="1"/>
        <v>8.0154345646496985</v>
      </c>
      <c r="D41" s="13">
        <f t="shared" ca="1" si="2"/>
        <v>0.26027182622045508</v>
      </c>
      <c r="E41" s="14">
        <f t="shared" ca="1" si="3"/>
        <v>5.1733701617773846</v>
      </c>
      <c r="F41" s="13">
        <f t="shared" ca="1" si="4"/>
        <v>0.50133416204496806</v>
      </c>
      <c r="G41" s="10">
        <f t="shared" ca="1" si="5"/>
        <v>3.3267856006784498</v>
      </c>
    </row>
    <row r="42" spans="1:7">
      <c r="A42" s="8">
        <v>37</v>
      </c>
      <c r="B42" s="9">
        <f t="shared" ca="1" si="0"/>
        <v>0.17013775860809233</v>
      </c>
      <c r="C42" s="10">
        <f t="shared" ca="1" si="1"/>
        <v>2.7974334929003533</v>
      </c>
      <c r="D42" s="9">
        <f t="shared" ca="1" si="2"/>
        <v>0.56906481092360128</v>
      </c>
      <c r="E42" s="10">
        <f t="shared" ca="1" si="3"/>
        <v>6.789537744900831</v>
      </c>
      <c r="F42" s="9">
        <f t="shared" ca="1" si="4"/>
        <v>0.44482575474220565</v>
      </c>
      <c r="G42" s="10">
        <f t="shared" ca="1" si="5"/>
        <v>3.0549184181939868</v>
      </c>
    </row>
    <row r="43" spans="1:7">
      <c r="A43" s="8">
        <v>38</v>
      </c>
      <c r="B43" s="13">
        <f t="shared" ca="1" si="0"/>
        <v>0.1705329583651668</v>
      </c>
      <c r="C43" s="14">
        <f t="shared" ca="1" si="1"/>
        <v>2.8045785442519344</v>
      </c>
      <c r="D43" s="13">
        <f t="shared" ca="1" si="2"/>
        <v>0.75094464303804653</v>
      </c>
      <c r="E43" s="14">
        <f t="shared" ca="1" si="3"/>
        <v>8.0388780012977303</v>
      </c>
      <c r="F43" s="13">
        <f t="shared" ca="1" si="4"/>
        <v>0.60862964290029808</v>
      </c>
      <c r="G43" s="10">
        <f t="shared" ca="1" si="5"/>
        <v>3.9174836119864587</v>
      </c>
    </row>
    <row r="44" spans="1:7">
      <c r="A44" s="8">
        <v>39</v>
      </c>
      <c r="B44" s="9">
        <f t="shared" ca="1" si="0"/>
        <v>5.0039341583206887E-2</v>
      </c>
      <c r="C44" s="10">
        <f t="shared" ca="1" si="1"/>
        <v>0.77002061156862622</v>
      </c>
      <c r="D44" s="9">
        <f t="shared" ca="1" si="2"/>
        <v>0.32353210310329994</v>
      </c>
      <c r="E44" s="10">
        <f t="shared" ca="1" si="3"/>
        <v>5.4717936993005418</v>
      </c>
      <c r="F44" s="9">
        <f t="shared" ca="1" si="4"/>
        <v>0.23865444696279148</v>
      </c>
      <c r="G44" s="10">
        <f t="shared" ca="1" si="5"/>
        <v>2.1675933467228639</v>
      </c>
    </row>
    <row r="45" spans="1:7">
      <c r="A45" s="8">
        <v>40</v>
      </c>
      <c r="B45" s="13">
        <f t="shared" ca="1" si="0"/>
        <v>0.19774382889008157</v>
      </c>
      <c r="C45" s="14">
        <f t="shared" ca="1" si="1"/>
        <v>3.3049096015322905</v>
      </c>
      <c r="D45" s="13">
        <f t="shared" ca="1" si="2"/>
        <v>0.37525326380684598</v>
      </c>
      <c r="E45" s="14">
        <f t="shared" ca="1" si="3"/>
        <v>5.7263213040379011</v>
      </c>
      <c r="F45" s="13">
        <f t="shared" ca="1" si="4"/>
        <v>0.46415064545691842</v>
      </c>
      <c r="G45" s="10">
        <f t="shared" ca="1" si="5"/>
        <v>3.1456188014029931</v>
      </c>
    </row>
    <row r="46" spans="1:7">
      <c r="A46" s="8">
        <v>41</v>
      </c>
      <c r="B46" s="9">
        <f t="shared" ca="1" si="0"/>
        <v>0.90345643154641386</v>
      </c>
      <c r="C46" s="10">
        <f t="shared" ca="1" si="1"/>
        <v>35.066413289413951</v>
      </c>
      <c r="D46" s="9">
        <f t="shared" ca="1" si="2"/>
        <v>0.26693537171292503</v>
      </c>
      <c r="E46" s="10">
        <f t="shared" ca="1" si="3"/>
        <v>5.2041872022483053</v>
      </c>
      <c r="F46" s="9">
        <f t="shared" ca="1" si="4"/>
        <v>0.13339820659122814</v>
      </c>
      <c r="G46" s="10">
        <f t="shared" ca="1" si="5"/>
        <v>1.7052603743252475</v>
      </c>
    </row>
    <row r="47" spans="1:7">
      <c r="A47" s="8">
        <v>42</v>
      </c>
      <c r="B47" s="13">
        <f t="shared" ca="1" si="0"/>
        <v>0.25034828906662876</v>
      </c>
      <c r="C47" s="14">
        <f t="shared" ca="1" si="1"/>
        <v>4.322198486013848</v>
      </c>
      <c r="D47" s="13">
        <f t="shared" ca="1" si="2"/>
        <v>0.13051143497136064</v>
      </c>
      <c r="E47" s="14">
        <f t="shared" ca="1" si="3"/>
        <v>4.5327119199264061</v>
      </c>
      <c r="F47" s="13">
        <f t="shared" ca="1" si="4"/>
        <v>0.1220498978619815</v>
      </c>
      <c r="G47" s="10">
        <f t="shared" ca="1" si="5"/>
        <v>1.6505684738674278</v>
      </c>
    </row>
    <row r="48" spans="1:7">
      <c r="A48" s="8">
        <v>43</v>
      </c>
      <c r="B48" s="9">
        <f t="shared" ca="1" si="0"/>
        <v>0.47431685168471915</v>
      </c>
      <c r="C48" s="10">
        <f t="shared" ca="1" si="1"/>
        <v>9.6458494106500847</v>
      </c>
      <c r="D48" s="9">
        <f t="shared" ca="1" si="2"/>
        <v>0.82535784520114419</v>
      </c>
      <c r="E48" s="10">
        <f t="shared" ca="1" si="3"/>
        <v>8.6830050117119697</v>
      </c>
      <c r="F48" s="9">
        <f t="shared" ca="1" si="4"/>
        <v>0.19557628004065442</v>
      </c>
      <c r="G48" s="10">
        <f t="shared" ca="1" si="5"/>
        <v>1.9847293600392901</v>
      </c>
    </row>
    <row r="49" spans="1:7">
      <c r="A49" s="8">
        <v>44</v>
      </c>
      <c r="B49" s="13">
        <f t="shared" ca="1" si="0"/>
        <v>0.36501253326239314</v>
      </c>
      <c r="C49" s="14">
        <f t="shared" ca="1" si="1"/>
        <v>6.812250265579836</v>
      </c>
      <c r="D49" s="13">
        <f t="shared" ca="1" si="2"/>
        <v>0.28573778885450951</v>
      </c>
      <c r="E49" s="14">
        <f t="shared" ca="1" si="3"/>
        <v>5.2919064331088901</v>
      </c>
      <c r="F49" s="13">
        <f t="shared" ca="1" si="4"/>
        <v>0.35063394602259312</v>
      </c>
      <c r="G49" s="10">
        <f t="shared" ca="1" si="5"/>
        <v>2.6375073759115955</v>
      </c>
    </row>
    <row r="50" spans="1:7">
      <c r="A50" s="8">
        <v>45</v>
      </c>
      <c r="B50" s="9">
        <f t="shared" ca="1" si="0"/>
        <v>0.17494126359527395</v>
      </c>
      <c r="C50" s="10">
        <f t="shared" ca="1" si="1"/>
        <v>2.8845104930948002</v>
      </c>
      <c r="D50" s="9">
        <f t="shared" ca="1" si="2"/>
        <v>0.88499429317491107</v>
      </c>
      <c r="E50" s="10">
        <f t="shared" ca="1" si="3"/>
        <v>9.3082794480145967</v>
      </c>
      <c r="F50" s="9">
        <f t="shared" ca="1" si="4"/>
        <v>0.54124913020362819</v>
      </c>
      <c r="G50" s="10">
        <f t="shared" ca="1" si="5"/>
        <v>3.5330046899020164</v>
      </c>
    </row>
    <row r="51" spans="1:7">
      <c r="A51" s="8">
        <v>46</v>
      </c>
      <c r="B51" s="13">
        <f t="shared" ca="1" si="0"/>
        <v>0.72581154658443159</v>
      </c>
      <c r="C51" s="14">
        <f t="shared" ca="1" si="1"/>
        <v>19.40909434233577</v>
      </c>
      <c r="D51" s="13">
        <f t="shared" ca="1" si="2"/>
        <v>0.48088649011651896</v>
      </c>
      <c r="E51" s="14">
        <f t="shared" ca="1" si="3"/>
        <v>6.2812456668729588</v>
      </c>
      <c r="F51" s="13">
        <f t="shared" ca="1" si="4"/>
        <v>0.58962356167796237</v>
      </c>
      <c r="G51" s="10">
        <f t="shared" ca="1" si="5"/>
        <v>3.8035926227924159</v>
      </c>
    </row>
    <row r="52" spans="1:7">
      <c r="A52" s="8">
        <v>47</v>
      </c>
      <c r="B52" s="9">
        <f t="shared" ca="1" si="0"/>
        <v>0.28570962289307367</v>
      </c>
      <c r="C52" s="10">
        <f t="shared" ca="1" si="1"/>
        <v>5.0469856303923457</v>
      </c>
      <c r="D52" s="9">
        <f t="shared" ca="1" si="2"/>
        <v>0.55098468618541363</v>
      </c>
      <c r="E52" s="10">
        <f t="shared" ca="1" si="3"/>
        <v>6.6813568675536299</v>
      </c>
      <c r="F52" s="9">
        <f t="shared" ca="1" si="4"/>
        <v>0.89876317747759871</v>
      </c>
      <c r="G52" s="10">
        <f t="shared" ca="1" si="5"/>
        <v>7.1329250282670218</v>
      </c>
    </row>
    <row r="53" spans="1:7">
      <c r="A53" s="8">
        <v>48</v>
      </c>
      <c r="B53" s="13">
        <f t="shared" ca="1" si="0"/>
        <v>0.48828731269038184</v>
      </c>
      <c r="C53" s="14">
        <f t="shared" ca="1" si="1"/>
        <v>10.049879535733256</v>
      </c>
      <c r="D53" s="13">
        <f t="shared" ca="1" si="2"/>
        <v>0.83579133200932643</v>
      </c>
      <c r="E53" s="14">
        <f t="shared" ca="1" si="3"/>
        <v>8.7836128834649845</v>
      </c>
      <c r="F53" s="13">
        <f t="shared" ca="1" si="4"/>
        <v>0.58172644792155326</v>
      </c>
      <c r="G53" s="10">
        <f t="shared" ca="1" si="5"/>
        <v>3.7576256349453119</v>
      </c>
    </row>
    <row r="54" spans="1:7">
      <c r="A54" s="8">
        <v>49</v>
      </c>
      <c r="B54" s="9">
        <f t="shared" ca="1" si="0"/>
        <v>5.8761585010223327E-2</v>
      </c>
      <c r="C54" s="10">
        <f t="shared" ca="1" si="1"/>
        <v>0.90838212083355296</v>
      </c>
      <c r="D54" s="9">
        <f t="shared" ca="1" si="2"/>
        <v>0.5126061753275446</v>
      </c>
      <c r="E54" s="10">
        <f t="shared" ca="1" si="3"/>
        <v>6.4587175713229801</v>
      </c>
      <c r="F54" s="9">
        <f t="shared" ca="1" si="4"/>
        <v>0.10072008782919706</v>
      </c>
      <c r="G54" s="10">
        <f t="shared" ca="1" si="5"/>
        <v>1.5426851154268266</v>
      </c>
    </row>
    <row r="55" spans="1:7">
      <c r="A55" s="8">
        <v>50</v>
      </c>
      <c r="B55" s="13">
        <f t="shared" ca="1" si="0"/>
        <v>3.5418666046667102E-2</v>
      </c>
      <c r="C55" s="14">
        <f t="shared" ca="1" si="1"/>
        <v>0.54091683913817878</v>
      </c>
      <c r="D55" s="13">
        <f t="shared" ca="1" si="2"/>
        <v>0.21753916765952375</v>
      </c>
      <c r="E55" s="14">
        <f t="shared" ca="1" si="3"/>
        <v>4.9788140432772927</v>
      </c>
      <c r="F55" s="13">
        <f t="shared" ca="1" si="4"/>
        <v>0.63563139158510928</v>
      </c>
      <c r="G55" s="10">
        <f t="shared" ca="1" si="5"/>
        <v>4.0881129498287487</v>
      </c>
    </row>
    <row r="56" spans="1:7">
      <c r="A56" s="8">
        <v>51</v>
      </c>
      <c r="B56" s="9">
        <f t="shared" ca="1" si="0"/>
        <v>0.76147758606898375</v>
      </c>
      <c r="C56" s="10">
        <f t="shared" ca="1" si="1"/>
        <v>21.499379914846013</v>
      </c>
      <c r="D56" s="9">
        <f t="shared" ca="1" si="2"/>
        <v>0.95974763323631285</v>
      </c>
      <c r="E56" s="10">
        <f t="shared" ca="1" si="3"/>
        <v>10.407549339504582</v>
      </c>
      <c r="F56" s="9">
        <f t="shared" ca="1" si="4"/>
        <v>0.62542497026745836</v>
      </c>
      <c r="G56" s="10">
        <f t="shared" ca="1" si="5"/>
        <v>4.0223092112092393</v>
      </c>
    </row>
    <row r="57" spans="1:7">
      <c r="A57" s="8">
        <v>52</v>
      </c>
      <c r="B57" s="13">
        <f t="shared" ca="1" si="0"/>
        <v>0.63210713918565198</v>
      </c>
      <c r="C57" s="14">
        <f t="shared" ca="1" si="1"/>
        <v>14.99945283440797</v>
      </c>
      <c r="D57" s="13">
        <f t="shared" ca="1" si="2"/>
        <v>0.39856085416167997</v>
      </c>
      <c r="E57" s="14">
        <f t="shared" ca="1" si="3"/>
        <v>5.8444605282872111</v>
      </c>
      <c r="F57" s="13">
        <f t="shared" ca="1" si="4"/>
        <v>0.77376449064534669</v>
      </c>
      <c r="G57" s="10">
        <f t="shared" ca="1" si="5"/>
        <v>5.211048626507452</v>
      </c>
    </row>
    <row r="58" spans="1:7">
      <c r="A58" s="8">
        <v>53</v>
      </c>
      <c r="B58" s="9">
        <f t="shared" ca="1" si="0"/>
        <v>0.43927957867179557</v>
      </c>
      <c r="C58" s="10">
        <f t="shared" ca="1" si="1"/>
        <v>8.6779928307697425</v>
      </c>
      <c r="D58" s="9">
        <f t="shared" ca="1" si="2"/>
        <v>2.1772779016795418E-3</v>
      </c>
      <c r="E58" s="10">
        <f t="shared" ca="1" si="3"/>
        <v>3.197967174628098</v>
      </c>
      <c r="F58" s="9">
        <f t="shared" ca="1" si="4"/>
        <v>0.83989402995828388</v>
      </c>
      <c r="G58" s="10">
        <f t="shared" ca="1" si="5"/>
        <v>6.0279890685106308</v>
      </c>
    </row>
    <row r="59" spans="1:7">
      <c r="A59" s="8">
        <v>54</v>
      </c>
      <c r="B59" s="13">
        <f t="shared" ca="1" si="0"/>
        <v>0.87356821772887339</v>
      </c>
      <c r="C59" s="14">
        <f t="shared" ca="1" si="1"/>
        <v>31.020785802858292</v>
      </c>
      <c r="D59" s="13">
        <f t="shared" ca="1" si="2"/>
        <v>0.26518658534290285</v>
      </c>
      <c r="E59" s="14">
        <f t="shared" ca="1" si="3"/>
        <v>5.1960860437982372</v>
      </c>
      <c r="F59" s="13">
        <f t="shared" ca="1" si="4"/>
        <v>0.58842137355841861</v>
      </c>
      <c r="G59" s="10">
        <f t="shared" ca="1" si="5"/>
        <v>3.7965456709812284</v>
      </c>
    </row>
    <row r="60" spans="1:7">
      <c r="A60" s="8">
        <v>55</v>
      </c>
      <c r="B60" s="9">
        <f t="shared" ca="1" si="0"/>
        <v>0.91802663092267645</v>
      </c>
      <c r="C60" s="10">
        <f t="shared" ca="1" si="1"/>
        <v>37.520412777239002</v>
      </c>
      <c r="D60" s="9">
        <f t="shared" ca="1" si="2"/>
        <v>0.81269649749875428</v>
      </c>
      <c r="E60" s="10">
        <f t="shared" ca="1" si="3"/>
        <v>8.5648696301918203</v>
      </c>
      <c r="F60" s="9">
        <f t="shared" ca="1" si="4"/>
        <v>0.13766563940987708</v>
      </c>
      <c r="G60" s="10">
        <f t="shared" ca="1" si="5"/>
        <v>1.725435740167883</v>
      </c>
    </row>
    <row r="61" spans="1:7">
      <c r="A61" s="8">
        <v>56</v>
      </c>
      <c r="B61" s="13">
        <f t="shared" ca="1" si="0"/>
        <v>0.67919918065748364</v>
      </c>
      <c r="C61" s="14">
        <f t="shared" ca="1" si="1"/>
        <v>17.054022733992394</v>
      </c>
      <c r="D61" s="13">
        <f t="shared" ca="1" si="2"/>
        <v>0.14944815243158238</v>
      </c>
      <c r="E61" s="14">
        <f t="shared" ca="1" si="3"/>
        <v>4.6401422937563934</v>
      </c>
      <c r="F61" s="13">
        <f t="shared" ca="1" si="4"/>
        <v>0.9001279738654181</v>
      </c>
      <c r="G61" s="10">
        <f t="shared" ca="1" si="5"/>
        <v>7.16615082218037</v>
      </c>
    </row>
    <row r="62" spans="1:7">
      <c r="A62" s="8">
        <v>57</v>
      </c>
      <c r="B62" s="9">
        <f t="shared" ca="1" si="0"/>
        <v>0.96941485440766884</v>
      </c>
      <c r="C62" s="10">
        <f t="shared" ca="1" si="1"/>
        <v>52.308612390692439</v>
      </c>
      <c r="D62" s="9">
        <f t="shared" ca="1" si="2"/>
        <v>0.69912203468966183</v>
      </c>
      <c r="E62" s="10">
        <f t="shared" ca="1" si="3"/>
        <v>7.6462301605905596</v>
      </c>
      <c r="F62" s="9">
        <f t="shared" ca="1" si="4"/>
        <v>0.73642814771495646</v>
      </c>
      <c r="G62" s="10">
        <f t="shared" ca="1" si="5"/>
        <v>4.8521568205561305</v>
      </c>
    </row>
    <row r="63" spans="1:7">
      <c r="A63" s="8">
        <v>58</v>
      </c>
      <c r="B63" s="13">
        <f t="shared" ca="1" si="0"/>
        <v>0.89804636773331281</v>
      </c>
      <c r="C63" s="14">
        <f t="shared" ca="1" si="1"/>
        <v>34.2485573201092</v>
      </c>
      <c r="D63" s="13">
        <f t="shared" ca="1" si="2"/>
        <v>0.72065161607187467</v>
      </c>
      <c r="E63" s="14">
        <f t="shared" ca="1" si="3"/>
        <v>7.8048899671794185</v>
      </c>
      <c r="F63" s="13">
        <f t="shared" ca="1" si="4"/>
        <v>6.679563536833677E-2</v>
      </c>
      <c r="G63" s="10">
        <f t="shared" ca="1" si="5"/>
        <v>1.3497864793642944</v>
      </c>
    </row>
    <row r="64" spans="1:7">
      <c r="A64" s="8">
        <v>59</v>
      </c>
      <c r="B64" s="9">
        <f t="shared" ca="1" si="0"/>
        <v>0.87248039632830865</v>
      </c>
      <c r="C64" s="10">
        <f t="shared" ca="1" si="1"/>
        <v>30.892277578722901</v>
      </c>
      <c r="D64" s="9">
        <f t="shared" ca="1" si="2"/>
        <v>3.6846933733514331E-2</v>
      </c>
      <c r="E64" s="10">
        <f t="shared" ca="1" si="3"/>
        <v>3.8143984327116907</v>
      </c>
      <c r="F64" s="9">
        <f t="shared" ca="1" si="4"/>
        <v>0.50000716817222834</v>
      </c>
      <c r="G64" s="10">
        <f t="shared" ca="1" si="5"/>
        <v>3.320152716332831</v>
      </c>
    </row>
    <row r="65" spans="1:7">
      <c r="A65" s="8">
        <v>60</v>
      </c>
      <c r="B65" s="13">
        <f t="shared" ca="1" si="0"/>
        <v>0.84656225754815517</v>
      </c>
      <c r="C65" s="14">
        <f t="shared" ca="1" si="1"/>
        <v>28.116905712904842</v>
      </c>
      <c r="D65" s="13">
        <f t="shared" ca="1" si="2"/>
        <v>0.98437262409345827</v>
      </c>
      <c r="E65" s="14">
        <f t="shared" ca="1" si="3"/>
        <v>11.007767828523924</v>
      </c>
      <c r="F65" s="13">
        <f t="shared" ca="1" si="4"/>
        <v>0.97505953665830991</v>
      </c>
      <c r="G65" s="10">
        <f t="shared" ca="1" si="5"/>
        <v>10.768123134952363</v>
      </c>
    </row>
    <row r="66" spans="1:7">
      <c r="A66" s="8">
        <v>61</v>
      </c>
      <c r="B66" s="9">
        <f t="shared" ca="1" si="0"/>
        <v>0.85443105459315294</v>
      </c>
      <c r="C66" s="10">
        <f t="shared" ca="1" si="1"/>
        <v>28.906581795140291</v>
      </c>
      <c r="D66" s="9">
        <f t="shared" ca="1" si="2"/>
        <v>0.45155010875958101</v>
      </c>
      <c r="E66" s="10">
        <f t="shared" ca="1" si="3"/>
        <v>6.1218758818695909</v>
      </c>
      <c r="F66" s="9">
        <f t="shared" ca="1" si="4"/>
        <v>0.53126835936168193</v>
      </c>
      <c r="G66" s="10">
        <f t="shared" ca="1" si="5"/>
        <v>3.4801491245976135</v>
      </c>
    </row>
    <row r="67" spans="1:7">
      <c r="A67" s="8">
        <v>62</v>
      </c>
      <c r="B67" s="13">
        <f t="shared" ca="1" si="0"/>
        <v>0.37381978457759524</v>
      </c>
      <c r="C67" s="14">
        <f t="shared" ca="1" si="1"/>
        <v>7.0217559787703125</v>
      </c>
      <c r="D67" s="13">
        <f t="shared" ca="1" si="2"/>
        <v>0.59775175523653012</v>
      </c>
      <c r="E67" s="14">
        <f t="shared" ca="1" si="3"/>
        <v>6.9659519847245592</v>
      </c>
      <c r="F67" s="13">
        <f t="shared" ca="1" si="4"/>
        <v>0.27230313942927964</v>
      </c>
      <c r="G67" s="10">
        <f t="shared" ca="1" si="5"/>
        <v>2.3082339196246644</v>
      </c>
    </row>
    <row r="68" spans="1:7">
      <c r="A68" s="8">
        <v>63</v>
      </c>
      <c r="B68" s="9">
        <f t="shared" ca="1" si="0"/>
        <v>0.2662396208299852</v>
      </c>
      <c r="C68" s="10">
        <f t="shared" ca="1" si="1"/>
        <v>4.6435914384504748</v>
      </c>
      <c r="D68" s="9">
        <f t="shared" ca="1" si="2"/>
        <v>0.2869223358048778</v>
      </c>
      <c r="E68" s="10">
        <f t="shared" ca="1" si="3"/>
        <v>5.2974711605027247</v>
      </c>
      <c r="F68" s="9">
        <f t="shared" ca="1" si="4"/>
        <v>0.64659384268371101</v>
      </c>
      <c r="G68" s="10">
        <f t="shared" ca="1" si="5"/>
        <v>4.1607044821824442</v>
      </c>
    </row>
    <row r="69" spans="1:7">
      <c r="A69" s="8">
        <v>64</v>
      </c>
      <c r="B69" s="13">
        <f t="shared" ca="1" si="0"/>
        <v>0.22749407572003044</v>
      </c>
      <c r="C69" s="14">
        <f t="shared" ca="1" si="1"/>
        <v>3.8717340190321283</v>
      </c>
      <c r="D69" s="13">
        <f t="shared" ca="1" si="2"/>
        <v>0.4094103082673014</v>
      </c>
      <c r="E69" s="14">
        <f t="shared" ca="1" si="3"/>
        <v>5.9002335635567151</v>
      </c>
      <c r="F69" s="13">
        <f t="shared" ca="1" si="4"/>
        <v>0.32570058349524</v>
      </c>
      <c r="G69" s="10">
        <f t="shared" ca="1" si="5"/>
        <v>2.5317482891688741</v>
      </c>
    </row>
    <row r="70" spans="1:7">
      <c r="A70" s="8">
        <v>65</v>
      </c>
      <c r="B70" s="9">
        <f t="shared" ref="B70:B133" ca="1" si="6">RAND()</f>
        <v>0.35635654181745502</v>
      </c>
      <c r="C70" s="10">
        <f t="shared" ref="C70:C133" ca="1" si="7">-$J$6 * LN(1 - B70)</f>
        <v>6.6091551383023699</v>
      </c>
      <c r="D70" s="9">
        <f t="shared" ref="D70:D133" ca="1" si="8">RAND()</f>
        <v>0.68033439629412606</v>
      </c>
      <c r="E70" s="10">
        <f t="shared" ref="E70:E133" ca="1" si="9">IF(D70&lt;=$N$9, $N$6+SQRT(D70*($N$8-$N$6)*($N$7-$N$6)), $N$8-SQRT((1-D70)*($N$8-$N$6)*($N$8-$N$7)))</f>
        <v>7.5123577422581844</v>
      </c>
      <c r="F70" s="9">
        <f t="shared" ref="F70:F133" ca="1" si="10">RAND()</f>
        <v>0.18869210749691823</v>
      </c>
      <c r="G70" s="10">
        <f t="shared" ca="1" si="5"/>
        <v>1.9549493229929464</v>
      </c>
    </row>
    <row r="71" spans="1:7">
      <c r="A71" s="8">
        <v>66</v>
      </c>
      <c r="B71" s="13">
        <f t="shared" ca="1" si="6"/>
        <v>0.79898518728357981</v>
      </c>
      <c r="C71" s="14">
        <f t="shared" ca="1" si="7"/>
        <v>24.065650177977663</v>
      </c>
      <c r="D71" s="13">
        <f t="shared" ca="1" si="8"/>
        <v>0.52649843191060963</v>
      </c>
      <c r="E71" s="14">
        <f t="shared" ca="1" si="9"/>
        <v>6.5382604612054598</v>
      </c>
      <c r="F71" s="13">
        <f t="shared" ca="1" si="10"/>
        <v>0.85318751358999068</v>
      </c>
      <c r="G71" s="10">
        <f t="shared" ref="G71:G134" ca="1" si="11">_xlfn.LOGNORM.INV(F71, $R$6, $R$7)</f>
        <v>6.2346445088358005</v>
      </c>
    </row>
    <row r="72" spans="1:7">
      <c r="A72" s="8">
        <v>67</v>
      </c>
      <c r="B72" s="9">
        <f t="shared" ca="1" si="6"/>
        <v>7.7125589910085779E-2</v>
      </c>
      <c r="C72" s="10">
        <f t="shared" ca="1" si="7"/>
        <v>1.2039318121814744</v>
      </c>
      <c r="D72" s="9">
        <f t="shared" ca="1" si="8"/>
        <v>0.42985724597662289</v>
      </c>
      <c r="E72" s="10">
        <f t="shared" ca="1" si="9"/>
        <v>6.0067543431398747</v>
      </c>
      <c r="F72" s="9">
        <f t="shared" ca="1" si="10"/>
        <v>0.79039782459828256</v>
      </c>
      <c r="G72" s="10">
        <f t="shared" ca="1" si="11"/>
        <v>5.3907333446863186</v>
      </c>
    </row>
    <row r="73" spans="1:7">
      <c r="A73" s="8">
        <v>68</v>
      </c>
      <c r="B73" s="13">
        <f t="shared" ca="1" si="6"/>
        <v>0.85816346897162099</v>
      </c>
      <c r="C73" s="14">
        <f t="shared" ca="1" si="7"/>
        <v>29.296201116749739</v>
      </c>
      <c r="D73" s="13">
        <f t="shared" ca="1" si="8"/>
        <v>0.44408585930916133</v>
      </c>
      <c r="E73" s="14">
        <f t="shared" ca="1" si="9"/>
        <v>6.0820112484457329</v>
      </c>
      <c r="F73" s="13">
        <f t="shared" ca="1" si="10"/>
        <v>0.29085810162864789</v>
      </c>
      <c r="G73" s="10">
        <f t="shared" ca="1" si="11"/>
        <v>2.3856514500187198</v>
      </c>
    </row>
    <row r="74" spans="1:7">
      <c r="A74" s="8">
        <v>69</v>
      </c>
      <c r="B74" s="9">
        <f t="shared" ca="1" si="6"/>
        <v>0.1737015318089733</v>
      </c>
      <c r="C74" s="10">
        <f t="shared" ca="1" si="7"/>
        <v>2.8619884364054999</v>
      </c>
      <c r="D74" s="9">
        <f t="shared" ca="1" si="8"/>
        <v>0.51688212716373672</v>
      </c>
      <c r="E74" s="10">
        <f t="shared" ca="1" si="9"/>
        <v>6.4830782143767358</v>
      </c>
      <c r="F74" s="9">
        <f t="shared" ca="1" si="10"/>
        <v>0.38293084369143471</v>
      </c>
      <c r="G74" s="10">
        <f t="shared" ca="1" si="11"/>
        <v>2.7768706176043634</v>
      </c>
    </row>
    <row r="75" spans="1:7">
      <c r="A75" s="8">
        <v>70</v>
      </c>
      <c r="B75" s="13">
        <f t="shared" ca="1" si="6"/>
        <v>0.71627714647545015</v>
      </c>
      <c r="C75" s="14">
        <f t="shared" ca="1" si="7"/>
        <v>18.896360777419371</v>
      </c>
      <c r="D75" s="13">
        <f t="shared" ca="1" si="8"/>
        <v>0.96900654136995779</v>
      </c>
      <c r="E75" s="14">
        <f t="shared" ca="1" si="9"/>
        <v>10.602649688269738</v>
      </c>
      <c r="F75" s="13">
        <f t="shared" ca="1" si="10"/>
        <v>0.59550000420973681</v>
      </c>
      <c r="G75" s="10">
        <f t="shared" ca="1" si="11"/>
        <v>3.8383008639362233</v>
      </c>
    </row>
    <row r="76" spans="1:7">
      <c r="A76" s="8">
        <v>71</v>
      </c>
      <c r="B76" s="9">
        <f t="shared" ca="1" si="6"/>
        <v>0.91917404989985096</v>
      </c>
      <c r="C76" s="10">
        <f t="shared" ca="1" si="7"/>
        <v>37.731858006173923</v>
      </c>
      <c r="D76" s="9">
        <f t="shared" ca="1" si="8"/>
        <v>0.58832891643663376</v>
      </c>
      <c r="E76" s="10">
        <f t="shared" ca="1" si="9"/>
        <v>6.9073309292187393</v>
      </c>
      <c r="F76" s="9">
        <f t="shared" ca="1" si="10"/>
        <v>2.8121032133848201E-2</v>
      </c>
      <c r="G76" s="10">
        <f t="shared" ca="1" si="11"/>
        <v>1.0560196958979238</v>
      </c>
    </row>
    <row r="77" spans="1:7">
      <c r="A77" s="8">
        <v>72</v>
      </c>
      <c r="B77" s="13">
        <f t="shared" ca="1" si="6"/>
        <v>0.7333224012255547</v>
      </c>
      <c r="C77" s="14">
        <f t="shared" ca="1" si="7"/>
        <v>19.825722681276574</v>
      </c>
      <c r="D77" s="13">
        <f t="shared" ca="1" si="8"/>
        <v>0.66183964668486528</v>
      </c>
      <c r="E77" s="14">
        <f t="shared" ca="1" si="9"/>
        <v>7.3843632878167842</v>
      </c>
      <c r="F77" s="13">
        <f t="shared" ca="1" si="10"/>
        <v>0.87207011017536629</v>
      </c>
      <c r="G77" s="10">
        <f t="shared" ca="1" si="11"/>
        <v>6.5649098265294077</v>
      </c>
    </row>
    <row r="78" spans="1:7">
      <c r="A78" s="8">
        <v>73</v>
      </c>
      <c r="B78" s="9">
        <f t="shared" ca="1" si="6"/>
        <v>0.73345171452805746</v>
      </c>
      <c r="C78" s="10">
        <f t="shared" ca="1" si="7"/>
        <v>19.832998020425979</v>
      </c>
      <c r="D78" s="9">
        <f t="shared" ca="1" si="8"/>
        <v>0.76049940121906179</v>
      </c>
      <c r="E78" s="10">
        <f t="shared" ca="1" si="9"/>
        <v>8.1156032999706245</v>
      </c>
      <c r="F78" s="9">
        <f t="shared" ca="1" si="10"/>
        <v>0.91152149005643202</v>
      </c>
      <c r="G78" s="10">
        <f t="shared" ca="1" si="11"/>
        <v>7.4641406343467658</v>
      </c>
    </row>
    <row r="79" spans="1:7">
      <c r="A79" s="8">
        <v>74</v>
      </c>
      <c r="B79" s="13">
        <f t="shared" ca="1" si="6"/>
        <v>0.13521228411418118</v>
      </c>
      <c r="C79" s="14">
        <f t="shared" ca="1" si="7"/>
        <v>2.17906825995584</v>
      </c>
      <c r="D79" s="13">
        <f t="shared" ca="1" si="8"/>
        <v>0.74251689802605381</v>
      </c>
      <c r="E79" s="14">
        <f t="shared" ca="1" si="9"/>
        <v>7.972415683767923</v>
      </c>
      <c r="F79" s="13">
        <f t="shared" ca="1" si="10"/>
        <v>0.705947051850489</v>
      </c>
      <c r="G79" s="10">
        <f t="shared" ca="1" si="11"/>
        <v>4.594912535842326</v>
      </c>
    </row>
    <row r="80" spans="1:7">
      <c r="A80" s="8">
        <v>75</v>
      </c>
      <c r="B80" s="9">
        <f t="shared" ca="1" si="6"/>
        <v>0.31526777344433776</v>
      </c>
      <c r="C80" s="10">
        <f t="shared" ca="1" si="7"/>
        <v>5.6809114092437492</v>
      </c>
      <c r="D80" s="9">
        <f t="shared" ca="1" si="8"/>
        <v>2.9419754571750056E-2</v>
      </c>
      <c r="E80" s="10">
        <f t="shared" ca="1" si="9"/>
        <v>3.7277056975807605</v>
      </c>
      <c r="F80" s="9">
        <f t="shared" ca="1" si="10"/>
        <v>0.46568943789167305</v>
      </c>
      <c r="G80" s="10">
        <f t="shared" ca="1" si="11"/>
        <v>3.1529355062839204</v>
      </c>
    </row>
    <row r="81" spans="1:7">
      <c r="A81" s="8">
        <v>76</v>
      </c>
      <c r="B81" s="13">
        <f t="shared" ca="1" si="6"/>
        <v>0.68629591336711149</v>
      </c>
      <c r="C81" s="14">
        <f t="shared" ca="1" si="7"/>
        <v>17.389577050043485</v>
      </c>
      <c r="D81" s="13">
        <f t="shared" ca="1" si="8"/>
        <v>0.47437579099948168</v>
      </c>
      <c r="E81" s="14">
        <f t="shared" ca="1" si="9"/>
        <v>6.2454952283421763</v>
      </c>
      <c r="F81" s="13">
        <f t="shared" ca="1" si="10"/>
        <v>3.2264972379973056E-2</v>
      </c>
      <c r="G81" s="10">
        <f t="shared" ca="1" si="11"/>
        <v>1.0951590309153363</v>
      </c>
    </row>
    <row r="82" spans="1:7">
      <c r="A82" s="8">
        <v>77</v>
      </c>
      <c r="B82" s="9">
        <f t="shared" ca="1" si="6"/>
        <v>0.6736577171317587</v>
      </c>
      <c r="C82" s="10">
        <f t="shared" ca="1" si="7"/>
        <v>16.797127514642181</v>
      </c>
      <c r="D82" s="9">
        <f t="shared" ca="1" si="8"/>
        <v>0.41533820731451254</v>
      </c>
      <c r="E82" s="10">
        <f t="shared" ca="1" si="9"/>
        <v>5.9309232218412573</v>
      </c>
      <c r="F82" s="9">
        <f t="shared" ca="1" si="10"/>
        <v>0.17826443048030138</v>
      </c>
      <c r="G82" s="10">
        <f t="shared" ca="1" si="11"/>
        <v>1.9094215220957131</v>
      </c>
    </row>
    <row r="83" spans="1:7">
      <c r="A83" s="8">
        <v>78</v>
      </c>
      <c r="B83" s="13">
        <f t="shared" ca="1" si="6"/>
        <v>0.66013728017534112</v>
      </c>
      <c r="C83" s="14">
        <f t="shared" ca="1" si="7"/>
        <v>16.188202621929701</v>
      </c>
      <c r="D83" s="13">
        <f t="shared" ca="1" si="8"/>
        <v>0.6224604479952357</v>
      </c>
      <c r="E83" s="14">
        <f t="shared" ca="1" si="9"/>
        <v>7.1230140684742436</v>
      </c>
      <c r="F83" s="13">
        <f t="shared" ca="1" si="10"/>
        <v>0.25235321135988176</v>
      </c>
      <c r="G83" s="10">
        <f t="shared" ca="1" si="11"/>
        <v>2.2249585226337731</v>
      </c>
    </row>
    <row r="84" spans="1:7">
      <c r="A84" s="8">
        <v>79</v>
      </c>
      <c r="B84" s="9">
        <f t="shared" ca="1" si="6"/>
        <v>0.85069422358799984</v>
      </c>
      <c r="C84" s="10">
        <f t="shared" ca="1" si="7"/>
        <v>28.526383278283777</v>
      </c>
      <c r="D84" s="9">
        <f t="shared" ca="1" si="8"/>
        <v>0.86045682606267149</v>
      </c>
      <c r="E84" s="10">
        <f t="shared" ca="1" si="9"/>
        <v>9.0350008502443551</v>
      </c>
      <c r="F84" s="9">
        <f t="shared" ca="1" si="10"/>
        <v>0.25637969573856745</v>
      </c>
      <c r="G84" s="10">
        <f t="shared" ca="1" si="11"/>
        <v>2.2417834649424941</v>
      </c>
    </row>
    <row r="85" spans="1:7">
      <c r="A85" s="8">
        <v>80</v>
      </c>
      <c r="B85" s="13">
        <f t="shared" ca="1" si="6"/>
        <v>0.11775753376294718</v>
      </c>
      <c r="C85" s="14">
        <f t="shared" ca="1" si="7"/>
        <v>1.8793253358620681</v>
      </c>
      <c r="D85" s="13">
        <f t="shared" ca="1" si="8"/>
        <v>0.54272894580192255</v>
      </c>
      <c r="E85" s="14">
        <f t="shared" ca="1" si="9"/>
        <v>6.6326844312562656</v>
      </c>
      <c r="F85" s="13">
        <f t="shared" ca="1" si="10"/>
        <v>0.25985702966807078</v>
      </c>
      <c r="G85" s="10">
        <f t="shared" ca="1" si="11"/>
        <v>2.2563044087328432</v>
      </c>
    </row>
    <row r="86" spans="1:7">
      <c r="A86" s="8">
        <v>81</v>
      </c>
      <c r="B86" s="9">
        <f t="shared" ca="1" si="6"/>
        <v>0.16868087824245903</v>
      </c>
      <c r="C86" s="10">
        <f t="shared" ca="1" si="7"/>
        <v>2.7711230471271096</v>
      </c>
      <c r="D86" s="9">
        <f t="shared" ca="1" si="8"/>
        <v>0.51696716453263503</v>
      </c>
      <c r="E86" s="10">
        <f t="shared" ca="1" si="9"/>
        <v>6.4835637740979912</v>
      </c>
      <c r="F86" s="9">
        <f t="shared" ca="1" si="10"/>
        <v>0.89297410663678267</v>
      </c>
      <c r="G86" s="10">
        <f t="shared" ca="1" si="11"/>
        <v>6.9971335731953834</v>
      </c>
    </row>
    <row r="87" spans="1:7">
      <c r="A87" s="8">
        <v>82</v>
      </c>
      <c r="B87" s="13">
        <f t="shared" ca="1" si="6"/>
        <v>0.60554752499610809</v>
      </c>
      <c r="C87" s="14">
        <f t="shared" ca="1" si="7"/>
        <v>13.953849223370154</v>
      </c>
      <c r="D87" s="13">
        <f t="shared" ca="1" si="8"/>
        <v>0.63312308760353353</v>
      </c>
      <c r="E87" s="14">
        <f t="shared" ca="1" si="9"/>
        <v>7.1923763166219645</v>
      </c>
      <c r="F87" s="13">
        <f t="shared" ca="1" si="10"/>
        <v>0.10539500470894403</v>
      </c>
      <c r="G87" s="10">
        <f t="shared" ca="1" si="11"/>
        <v>1.5669990488354073</v>
      </c>
    </row>
    <row r="88" spans="1:7">
      <c r="A88" s="8">
        <v>83</v>
      </c>
      <c r="B88" s="9">
        <f t="shared" ca="1" si="6"/>
        <v>0.56895308011801227</v>
      </c>
      <c r="C88" s="10">
        <f t="shared" ca="1" si="7"/>
        <v>12.623074979524191</v>
      </c>
      <c r="D88" s="9">
        <f t="shared" ca="1" si="8"/>
        <v>0.64945494303215823</v>
      </c>
      <c r="E88" s="10">
        <f t="shared" ca="1" si="9"/>
        <v>7.3006023163628688</v>
      </c>
      <c r="F88" s="9">
        <f t="shared" ca="1" si="10"/>
        <v>0.39712023072858127</v>
      </c>
      <c r="G88" s="10">
        <f t="shared" ca="1" si="11"/>
        <v>2.839179527927187</v>
      </c>
    </row>
    <row r="89" spans="1:7">
      <c r="A89" s="8">
        <v>84</v>
      </c>
      <c r="B89" s="13">
        <f t="shared" ca="1" si="6"/>
        <v>0.62031806139934875</v>
      </c>
      <c r="C89" s="14">
        <f t="shared" ca="1" si="7"/>
        <v>14.52632070641053</v>
      </c>
      <c r="D89" s="13">
        <f t="shared" ca="1" si="8"/>
        <v>0.92801363217400645</v>
      </c>
      <c r="E89" s="14">
        <f t="shared" ca="1" si="9"/>
        <v>9.8704129102012299</v>
      </c>
      <c r="F89" s="13">
        <f t="shared" ca="1" si="10"/>
        <v>0.84363278195307934</v>
      </c>
      <c r="G89" s="10">
        <f t="shared" ca="1" si="11"/>
        <v>6.0842324638355185</v>
      </c>
    </row>
    <row r="90" spans="1:7">
      <c r="A90" s="8">
        <v>85</v>
      </c>
      <c r="B90" s="9">
        <f t="shared" ca="1" si="6"/>
        <v>0.32600673634473654</v>
      </c>
      <c r="C90" s="10">
        <f t="shared" ca="1" si="7"/>
        <v>5.9180274404480482</v>
      </c>
      <c r="D90" s="9">
        <f t="shared" ca="1" si="8"/>
        <v>0.44253869627507303</v>
      </c>
      <c r="E90" s="10">
        <f t="shared" ca="1" si="9"/>
        <v>6.073781801631803</v>
      </c>
      <c r="F90" s="9">
        <f t="shared" ca="1" si="10"/>
        <v>0.92235147108483584</v>
      </c>
      <c r="G90" s="10">
        <f t="shared" ca="1" si="11"/>
        <v>7.788440627567053</v>
      </c>
    </row>
    <row r="91" spans="1:7">
      <c r="A91" s="8">
        <v>86</v>
      </c>
      <c r="B91" s="13">
        <f t="shared" ca="1" si="6"/>
        <v>0.61483617246983457</v>
      </c>
      <c r="C91" s="14">
        <f t="shared" ca="1" si="7"/>
        <v>14.311297637287653</v>
      </c>
      <c r="D91" s="13">
        <f t="shared" ca="1" si="8"/>
        <v>0.8907332122777939</v>
      </c>
      <c r="E91" s="14">
        <f t="shared" ca="1" si="9"/>
        <v>9.3762988686782585</v>
      </c>
      <c r="F91" s="13">
        <f t="shared" ca="1" si="10"/>
        <v>0.15076906884643204</v>
      </c>
      <c r="G91" s="10">
        <f t="shared" ca="1" si="11"/>
        <v>1.7862450531085416</v>
      </c>
    </row>
    <row r="92" spans="1:7">
      <c r="A92" s="8">
        <v>87</v>
      </c>
      <c r="B92" s="9">
        <f t="shared" ca="1" si="6"/>
        <v>0.38344116749585067</v>
      </c>
      <c r="C92" s="10">
        <f t="shared" ca="1" si="7"/>
        <v>7.25402296617363</v>
      </c>
      <c r="D92" s="9">
        <f t="shared" ca="1" si="8"/>
        <v>0.48167583095940358</v>
      </c>
      <c r="E92" s="10">
        <f t="shared" ca="1" si="9"/>
        <v>6.2855951622625152</v>
      </c>
      <c r="F92" s="9">
        <f t="shared" ca="1" si="10"/>
        <v>0.43565464349273808</v>
      </c>
      <c r="G92" s="10">
        <f t="shared" ca="1" si="11"/>
        <v>3.0125973563717001</v>
      </c>
    </row>
    <row r="93" spans="1:7">
      <c r="A93" s="8">
        <v>88</v>
      </c>
      <c r="B93" s="13">
        <f t="shared" ca="1" si="6"/>
        <v>0.42618112297473765</v>
      </c>
      <c r="C93" s="14">
        <f t="shared" ca="1" si="7"/>
        <v>8.3316221656440774</v>
      </c>
      <c r="D93" s="13">
        <f t="shared" ca="1" si="8"/>
        <v>1.5510698362277697E-3</v>
      </c>
      <c r="E93" s="14">
        <f t="shared" ca="1" si="9"/>
        <v>3.1670905654191759</v>
      </c>
      <c r="F93" s="13">
        <f t="shared" ca="1" si="10"/>
        <v>0.5618352154445152</v>
      </c>
      <c r="G93" s="10">
        <f t="shared" ca="1" si="11"/>
        <v>3.6450652844050548</v>
      </c>
    </row>
    <row r="94" spans="1:7">
      <c r="A94" s="8">
        <v>89</v>
      </c>
      <c r="B94" s="9">
        <f t="shared" ca="1" si="6"/>
        <v>0.95912238243781889</v>
      </c>
      <c r="C94" s="10">
        <f t="shared" ca="1" si="7"/>
        <v>47.957589203948714</v>
      </c>
      <c r="D94" s="9">
        <f t="shared" ca="1" si="8"/>
        <v>0.15169842105162379</v>
      </c>
      <c r="E94" s="10">
        <f t="shared" ca="1" si="9"/>
        <v>4.6524441227857682</v>
      </c>
      <c r="F94" s="9">
        <f t="shared" ca="1" si="10"/>
        <v>0.8484018371077765</v>
      </c>
      <c r="G94" s="10">
        <f t="shared" ca="1" si="11"/>
        <v>6.1580606781838148</v>
      </c>
    </row>
    <row r="95" spans="1:7">
      <c r="A95" s="8">
        <v>90</v>
      </c>
      <c r="B95" s="13">
        <f t="shared" ca="1" si="6"/>
        <v>0.87189516507158937</v>
      </c>
      <c r="C95" s="14">
        <f t="shared" ca="1" si="7"/>
        <v>30.82359491100793</v>
      </c>
      <c r="D95" s="13">
        <f t="shared" ca="1" si="8"/>
        <v>0.58282459250088425</v>
      </c>
      <c r="E95" s="14">
        <f t="shared" ca="1" si="9"/>
        <v>6.873397745831622</v>
      </c>
      <c r="F95" s="13">
        <f t="shared" ca="1" si="10"/>
        <v>0.70557994998126461</v>
      </c>
      <c r="G95" s="10">
        <f t="shared" ca="1" si="11"/>
        <v>4.5919766920537812</v>
      </c>
    </row>
    <row r="96" spans="1:7">
      <c r="A96" s="8">
        <v>91</v>
      </c>
      <c r="B96" s="9">
        <f t="shared" ca="1" si="6"/>
        <v>0.38542883512909021</v>
      </c>
      <c r="C96" s="10">
        <f t="shared" ca="1" si="7"/>
        <v>7.3024582093531363</v>
      </c>
      <c r="D96" s="9">
        <f t="shared" ca="1" si="8"/>
        <v>0.54406589831416341</v>
      </c>
      <c r="E96" s="10">
        <f t="shared" ca="1" si="9"/>
        <v>6.6405365561273104</v>
      </c>
      <c r="F96" s="9">
        <f t="shared" ca="1" si="10"/>
        <v>5.0514643741538245E-3</v>
      </c>
      <c r="G96" s="10">
        <f t="shared" ca="1" si="11"/>
        <v>0.70937440439082089</v>
      </c>
    </row>
    <row r="97" spans="1:7">
      <c r="A97" s="8">
        <v>92</v>
      </c>
      <c r="B97" s="13">
        <f t="shared" ca="1" si="6"/>
        <v>0.45976873731629142</v>
      </c>
      <c r="C97" s="14">
        <f t="shared" ca="1" si="7"/>
        <v>9.2363695031051645</v>
      </c>
      <c r="D97" s="13">
        <f t="shared" ca="1" si="8"/>
        <v>0.11069138045846127</v>
      </c>
      <c r="E97" s="14">
        <f t="shared" ca="1" si="9"/>
        <v>4.4115398854627887</v>
      </c>
      <c r="F97" s="13">
        <f t="shared" ca="1" si="10"/>
        <v>0.4815428021737207</v>
      </c>
      <c r="G97" s="10">
        <f t="shared" ca="1" si="11"/>
        <v>3.2291885707928647</v>
      </c>
    </row>
    <row r="98" spans="1:7">
      <c r="A98" s="8">
        <v>93</v>
      </c>
      <c r="B98" s="9">
        <f t="shared" ca="1" si="6"/>
        <v>0.42723618791453222</v>
      </c>
      <c r="C98" s="10">
        <f t="shared" ca="1" si="7"/>
        <v>8.3592276383483597</v>
      </c>
      <c r="D98" s="9">
        <f t="shared" ca="1" si="8"/>
        <v>0.33101241262209136</v>
      </c>
      <c r="E98" s="10">
        <f t="shared" ca="1" si="9"/>
        <v>5.5079881388888197</v>
      </c>
      <c r="F98" s="9">
        <f t="shared" ca="1" si="10"/>
        <v>0.46501849474099011</v>
      </c>
      <c r="G98" s="10">
        <f t="shared" ca="1" si="11"/>
        <v>3.1497434982654289</v>
      </c>
    </row>
    <row r="99" spans="1:7">
      <c r="A99" s="8">
        <v>94</v>
      </c>
      <c r="B99" s="13">
        <f t="shared" ca="1" si="6"/>
        <v>0.80155260761076275</v>
      </c>
      <c r="C99" s="14">
        <f t="shared" ca="1" si="7"/>
        <v>24.258468595910053</v>
      </c>
      <c r="D99" s="13">
        <f t="shared" ca="1" si="8"/>
        <v>0.45479121344461138</v>
      </c>
      <c r="E99" s="14">
        <f t="shared" ca="1" si="9"/>
        <v>6.1392702201014693</v>
      </c>
      <c r="F99" s="13">
        <f t="shared" ca="1" si="10"/>
        <v>0.87201077976153807</v>
      </c>
      <c r="G99" s="10">
        <f t="shared" ca="1" si="11"/>
        <v>6.5637930090800181</v>
      </c>
    </row>
    <row r="100" spans="1:7">
      <c r="A100" s="8">
        <v>95</v>
      </c>
      <c r="B100" s="9">
        <f t="shared" ca="1" si="6"/>
        <v>0.40428609880231037</v>
      </c>
      <c r="C100" s="10">
        <f t="shared" ca="1" si="7"/>
        <v>7.7699213807447363</v>
      </c>
      <c r="D100" s="9">
        <f t="shared" ca="1" si="8"/>
        <v>0.44953761269410253</v>
      </c>
      <c r="E100" s="10">
        <f t="shared" ca="1" si="9"/>
        <v>6.1111010876165022</v>
      </c>
      <c r="F100" s="9">
        <f t="shared" ca="1" si="10"/>
        <v>0.11321537115449731</v>
      </c>
      <c r="G100" s="10">
        <f t="shared" ca="1" si="11"/>
        <v>1.6067883625289354</v>
      </c>
    </row>
    <row r="101" spans="1:7">
      <c r="A101" s="8">
        <v>96</v>
      </c>
      <c r="B101" s="13">
        <f t="shared" ca="1" si="6"/>
        <v>0.21868168185114811</v>
      </c>
      <c r="C101" s="14">
        <f t="shared" ca="1" si="7"/>
        <v>3.7015895178642233</v>
      </c>
      <c r="D101" s="13">
        <f t="shared" ca="1" si="8"/>
        <v>0.53980369726490307</v>
      </c>
      <c r="E101" s="14">
        <f t="shared" ca="1" si="9"/>
        <v>6.6155439390490791</v>
      </c>
      <c r="F101" s="13">
        <f t="shared" ca="1" si="10"/>
        <v>0.5167927736333654</v>
      </c>
      <c r="G101" s="10">
        <f t="shared" ca="1" si="11"/>
        <v>3.4050628841187986</v>
      </c>
    </row>
    <row r="102" spans="1:7">
      <c r="A102" s="8">
        <v>97</v>
      </c>
      <c r="B102" s="9">
        <f t="shared" ca="1" si="6"/>
        <v>0.72488671458620846</v>
      </c>
      <c r="C102" s="10">
        <f t="shared" ca="1" si="7"/>
        <v>19.358584787747656</v>
      </c>
      <c r="D102" s="9">
        <f t="shared" ca="1" si="8"/>
        <v>0.13014011397404757</v>
      </c>
      <c r="E102" s="10">
        <f t="shared" ca="1" si="9"/>
        <v>4.5305299904062171</v>
      </c>
      <c r="F102" s="9">
        <f t="shared" ca="1" si="10"/>
        <v>0.15514176927716439</v>
      </c>
      <c r="G102" s="10">
        <f t="shared" ca="1" si="11"/>
        <v>1.8061972030773858</v>
      </c>
    </row>
    <row r="103" spans="1:7">
      <c r="A103" s="8">
        <v>98</v>
      </c>
      <c r="B103" s="13">
        <f t="shared" ca="1" si="6"/>
        <v>0.66936030077045705</v>
      </c>
      <c r="C103" s="14">
        <f t="shared" ca="1" si="7"/>
        <v>16.600890276607643</v>
      </c>
      <c r="D103" s="13">
        <f t="shared" ca="1" si="8"/>
        <v>0.93899760573250246</v>
      </c>
      <c r="E103" s="14">
        <f t="shared" ca="1" si="9"/>
        <v>10.03960441776351</v>
      </c>
      <c r="F103" s="13">
        <f t="shared" ca="1" si="10"/>
        <v>0.73442368352862952</v>
      </c>
      <c r="G103" s="10">
        <f t="shared" ca="1" si="11"/>
        <v>4.8343587059413187</v>
      </c>
    </row>
    <row r="104" spans="1:7">
      <c r="A104" s="8">
        <v>99</v>
      </c>
      <c r="B104" s="9">
        <f t="shared" ca="1" si="6"/>
        <v>0.66196850908431204</v>
      </c>
      <c r="C104" s="10">
        <f t="shared" ca="1" si="7"/>
        <v>16.269243291741205</v>
      </c>
      <c r="D104" s="9">
        <f t="shared" ca="1" si="8"/>
        <v>0.30176576770676233</v>
      </c>
      <c r="E104" s="10">
        <f t="shared" ca="1" si="9"/>
        <v>5.3675979740011259</v>
      </c>
      <c r="F104" s="9">
        <f t="shared" ca="1" si="10"/>
        <v>0.94956644866674111</v>
      </c>
      <c r="G104" s="10">
        <f t="shared" ca="1" si="11"/>
        <v>8.8853035781253471</v>
      </c>
    </row>
    <row r="105" spans="1:7">
      <c r="A105" s="8">
        <v>100</v>
      </c>
      <c r="B105" s="13">
        <f t="shared" ca="1" si="6"/>
        <v>0.98928064753002865</v>
      </c>
      <c r="C105" s="14">
        <f t="shared" ca="1" si="7"/>
        <v>68.035567936266801</v>
      </c>
      <c r="D105" s="13">
        <f t="shared" ca="1" si="8"/>
        <v>0.9450754336235313</v>
      </c>
      <c r="E105" s="14">
        <f t="shared" ca="1" si="9"/>
        <v>10.139825900159469</v>
      </c>
      <c r="F105" s="13">
        <f t="shared" ca="1" si="10"/>
        <v>0.20505685426721931</v>
      </c>
      <c r="G105" s="10">
        <f t="shared" ca="1" si="11"/>
        <v>2.0254337465599428</v>
      </c>
    </row>
    <row r="106" spans="1:7">
      <c r="A106" s="8">
        <v>101</v>
      </c>
      <c r="B106" s="9">
        <f t="shared" ca="1" si="6"/>
        <v>0.98489589284312429</v>
      </c>
      <c r="C106" s="10">
        <f t="shared" ca="1" si="7"/>
        <v>62.891828625025326</v>
      </c>
      <c r="D106" s="9">
        <f t="shared" ca="1" si="8"/>
        <v>0.10184475595787279</v>
      </c>
      <c r="E106" s="10">
        <f t="shared" ca="1" si="9"/>
        <v>4.3539592339659681</v>
      </c>
      <c r="F106" s="9">
        <f t="shared" ca="1" si="10"/>
        <v>0.74812252455727435</v>
      </c>
      <c r="G106" s="10">
        <f t="shared" ca="1" si="11"/>
        <v>4.9587613264627599</v>
      </c>
    </row>
    <row r="107" spans="1:7">
      <c r="A107" s="8">
        <v>102</v>
      </c>
      <c r="B107" s="13">
        <f t="shared" ca="1" si="6"/>
        <v>0.61914765789892912</v>
      </c>
      <c r="C107" s="14">
        <f t="shared" ca="1" si="7"/>
        <v>14.48015298771322</v>
      </c>
      <c r="D107" s="13">
        <f t="shared" ca="1" si="8"/>
        <v>0.18787153434905079</v>
      </c>
      <c r="E107" s="14">
        <f t="shared" ca="1" si="9"/>
        <v>4.8389365454748337</v>
      </c>
      <c r="F107" s="13">
        <f t="shared" ca="1" si="10"/>
        <v>0.39918674182456493</v>
      </c>
      <c r="G107" s="10">
        <f t="shared" ca="1" si="11"/>
        <v>2.8483172724563031</v>
      </c>
    </row>
    <row r="108" spans="1:7">
      <c r="A108" s="8">
        <v>103</v>
      </c>
      <c r="B108" s="9">
        <f t="shared" ca="1" si="6"/>
        <v>7.7441450594401329E-2</v>
      </c>
      <c r="C108" s="10">
        <f t="shared" ca="1" si="7"/>
        <v>1.2090665533668647</v>
      </c>
      <c r="D108" s="9">
        <f t="shared" ca="1" si="8"/>
        <v>0.76423700274539197</v>
      </c>
      <c r="E108" s="10">
        <f t="shared" ca="1" si="9"/>
        <v>8.1460320672013484</v>
      </c>
      <c r="F108" s="9">
        <f t="shared" ca="1" si="10"/>
        <v>0.87343732865682888</v>
      </c>
      <c r="G108" s="10">
        <f t="shared" ca="1" si="11"/>
        <v>6.5907994168548418</v>
      </c>
    </row>
    <row r="109" spans="1:7">
      <c r="A109" s="8">
        <v>104</v>
      </c>
      <c r="B109" s="13">
        <f t="shared" ca="1" si="6"/>
        <v>0.60094499403536472</v>
      </c>
      <c r="C109" s="14">
        <f t="shared" ca="1" si="7"/>
        <v>13.779840180503101</v>
      </c>
      <c r="D109" s="13">
        <f t="shared" ca="1" si="8"/>
        <v>0.16990630975174703</v>
      </c>
      <c r="E109" s="14">
        <f t="shared" ca="1" si="9"/>
        <v>4.7488034696704622</v>
      </c>
      <c r="F109" s="13">
        <f t="shared" ca="1" si="10"/>
        <v>0.38796520846239191</v>
      </c>
      <c r="G109" s="10">
        <f t="shared" ca="1" si="11"/>
        <v>2.7988935725026689</v>
      </c>
    </row>
    <row r="110" spans="1:7">
      <c r="A110" s="8">
        <v>105</v>
      </c>
      <c r="B110" s="9">
        <f t="shared" ca="1" si="6"/>
        <v>0.8910238779641495</v>
      </c>
      <c r="C110" s="10">
        <f t="shared" ca="1" si="7"/>
        <v>33.249397269634088</v>
      </c>
      <c r="D110" s="9">
        <f t="shared" ca="1" si="8"/>
        <v>0.50297078491060354</v>
      </c>
      <c r="E110" s="10">
        <f t="shared" ca="1" si="9"/>
        <v>6.4042122493225335</v>
      </c>
      <c r="F110" s="9">
        <f t="shared" ca="1" si="10"/>
        <v>0.35095633562732342</v>
      </c>
      <c r="G110" s="10">
        <f t="shared" ca="1" si="11"/>
        <v>2.6388839874136929</v>
      </c>
    </row>
    <row r="111" spans="1:7">
      <c r="A111" s="8">
        <v>106</v>
      </c>
      <c r="B111" s="13">
        <f t="shared" ca="1" si="6"/>
        <v>0.93895254363759939</v>
      </c>
      <c r="C111" s="14">
        <f t="shared" ca="1" si="7"/>
        <v>41.94155616178454</v>
      </c>
      <c r="D111" s="13">
        <f t="shared" ca="1" si="8"/>
        <v>0.74227180808637694</v>
      </c>
      <c r="E111" s="14">
        <f t="shared" ca="1" si="9"/>
        <v>7.97049927527513</v>
      </c>
      <c r="F111" s="13">
        <f t="shared" ca="1" si="10"/>
        <v>0.76490449476778577</v>
      </c>
      <c r="G111" s="10">
        <f t="shared" ca="1" si="11"/>
        <v>5.1207503442705411</v>
      </c>
    </row>
    <row r="112" spans="1:7">
      <c r="A112" s="8">
        <v>107</v>
      </c>
      <c r="B112" s="9">
        <f t="shared" ca="1" si="6"/>
        <v>0.49318741359098295</v>
      </c>
      <c r="C112" s="10">
        <f t="shared" ca="1" si="7"/>
        <v>10.194209936735044</v>
      </c>
      <c r="D112" s="9">
        <f t="shared" ca="1" si="8"/>
        <v>0.24323374352189475</v>
      </c>
      <c r="E112" s="10">
        <f t="shared" ca="1" si="9"/>
        <v>5.0951991948992017</v>
      </c>
      <c r="F112" s="9">
        <f t="shared" ca="1" si="10"/>
        <v>0.49453656807994506</v>
      </c>
      <c r="G112" s="10">
        <f t="shared" ca="1" si="11"/>
        <v>3.2929468645487439</v>
      </c>
    </row>
    <row r="113" spans="1:7">
      <c r="A113" s="8">
        <v>108</v>
      </c>
      <c r="B113" s="13">
        <f t="shared" ca="1" si="6"/>
        <v>0.15665772413304735</v>
      </c>
      <c r="C113" s="14">
        <f t="shared" ca="1" si="7"/>
        <v>2.555735732851427</v>
      </c>
      <c r="D113" s="13">
        <f t="shared" ca="1" si="8"/>
        <v>1.8306751151573986E-2</v>
      </c>
      <c r="E113" s="14">
        <f t="shared" ca="1" si="9"/>
        <v>3.5740396508328773</v>
      </c>
      <c r="F113" s="13">
        <f t="shared" ca="1" si="10"/>
        <v>0.5613044644855425</v>
      </c>
      <c r="G113" s="10">
        <f t="shared" ca="1" si="11"/>
        <v>3.6421217065051419</v>
      </c>
    </row>
    <row r="114" spans="1:7">
      <c r="A114" s="8">
        <v>109</v>
      </c>
      <c r="B114" s="9">
        <f t="shared" ca="1" si="6"/>
        <v>0.90737196056885505</v>
      </c>
      <c r="C114" s="10">
        <f t="shared" ca="1" si="7"/>
        <v>35.687450722993951</v>
      </c>
      <c r="D114" s="9">
        <f t="shared" ca="1" si="8"/>
        <v>0.57425503281077539</v>
      </c>
      <c r="E114" s="10">
        <f t="shared" ca="1" si="9"/>
        <v>6.8210104332098576</v>
      </c>
      <c r="F114" s="9">
        <f t="shared" ca="1" si="10"/>
        <v>0.88232455818264521</v>
      </c>
      <c r="G114" s="10">
        <f t="shared" ca="1" si="11"/>
        <v>6.7666933189427541</v>
      </c>
    </row>
    <row r="115" spans="1:7">
      <c r="A115" s="8">
        <v>110</v>
      </c>
      <c r="B115" s="13">
        <f t="shared" ca="1" si="6"/>
        <v>2.2897335442975786E-2</v>
      </c>
      <c r="C115" s="14">
        <f t="shared" ca="1" si="7"/>
        <v>0.34745326545163246</v>
      </c>
      <c r="D115" s="13">
        <f t="shared" ca="1" si="8"/>
        <v>0.723004695441536</v>
      </c>
      <c r="E115" s="14">
        <f t="shared" ca="1" si="9"/>
        <v>7.8225959990463894</v>
      </c>
      <c r="F115" s="13">
        <f t="shared" ca="1" si="10"/>
        <v>0.3888468812808995</v>
      </c>
      <c r="G115" s="10">
        <f t="shared" ca="1" si="11"/>
        <v>2.8027597745977237</v>
      </c>
    </row>
    <row r="116" spans="1:7">
      <c r="A116" s="8">
        <v>111</v>
      </c>
      <c r="B116" s="9">
        <f t="shared" ca="1" si="6"/>
        <v>0.94172200975914766</v>
      </c>
      <c r="C116" s="10">
        <f t="shared" ca="1" si="7"/>
        <v>42.63796174188635</v>
      </c>
      <c r="D116" s="9">
        <f t="shared" ca="1" si="8"/>
        <v>0.96451861833978947</v>
      </c>
      <c r="E116" s="10">
        <f t="shared" ca="1" si="9"/>
        <v>10.504898985154092</v>
      </c>
      <c r="F116" s="9">
        <f t="shared" ca="1" si="10"/>
        <v>0.48655412763943284</v>
      </c>
      <c r="G116" s="10">
        <f t="shared" ca="1" si="11"/>
        <v>3.253638431727794</v>
      </c>
    </row>
    <row r="117" spans="1:7">
      <c r="A117" s="8">
        <v>112</v>
      </c>
      <c r="B117" s="13">
        <f t="shared" ca="1" si="6"/>
        <v>8.943626872622934E-2</v>
      </c>
      <c r="C117" s="14">
        <f t="shared" ca="1" si="7"/>
        <v>1.4053707953487378</v>
      </c>
      <c r="D117" s="13">
        <f t="shared" ca="1" si="8"/>
        <v>0.11257608713414147</v>
      </c>
      <c r="E117" s="14">
        <f t="shared" ca="1" si="9"/>
        <v>4.4235060830268855</v>
      </c>
      <c r="F117" s="13">
        <f t="shared" ca="1" si="10"/>
        <v>4.8901263309762966E-3</v>
      </c>
      <c r="G117" s="10">
        <f t="shared" ca="1" si="11"/>
        <v>0.70461622206202523</v>
      </c>
    </row>
    <row r="118" spans="1:7">
      <c r="A118" s="8">
        <v>113</v>
      </c>
      <c r="B118" s="9">
        <f t="shared" ca="1" si="6"/>
        <v>0.14361137091761877</v>
      </c>
      <c r="C118" s="10">
        <f t="shared" ca="1" si="7"/>
        <v>2.3254649989881968</v>
      </c>
      <c r="D118" s="9">
        <f t="shared" ca="1" si="8"/>
        <v>0.9809331462620714</v>
      </c>
      <c r="E118" s="10">
        <f t="shared" ca="1" si="9"/>
        <v>10.904001922679834</v>
      </c>
      <c r="F118" s="9">
        <f t="shared" ca="1" si="10"/>
        <v>0.34555162888699209</v>
      </c>
      <c r="G118" s="10">
        <f t="shared" ca="1" si="11"/>
        <v>2.6158393393846153</v>
      </c>
    </row>
    <row r="119" spans="1:7">
      <c r="A119" s="8">
        <v>114</v>
      </c>
      <c r="B119" s="13">
        <f t="shared" ca="1" si="6"/>
        <v>0.94857726627853856</v>
      </c>
      <c r="C119" s="14">
        <f t="shared" ca="1" si="7"/>
        <v>44.515123710026039</v>
      </c>
      <c r="D119" s="13">
        <f t="shared" ca="1" si="8"/>
        <v>0.71041010350194089</v>
      </c>
      <c r="E119" s="14">
        <f t="shared" ca="1" si="9"/>
        <v>7.7286812950357211</v>
      </c>
      <c r="F119" s="13">
        <f t="shared" ca="1" si="10"/>
        <v>0.34981534984863283</v>
      </c>
      <c r="G119" s="10">
        <f t="shared" ca="1" si="11"/>
        <v>2.6340131120056229</v>
      </c>
    </row>
    <row r="120" spans="1:7">
      <c r="A120" s="8">
        <v>115</v>
      </c>
      <c r="B120" s="9">
        <f t="shared" ca="1" si="6"/>
        <v>0.42388902305672582</v>
      </c>
      <c r="C120" s="10">
        <f t="shared" ca="1" si="7"/>
        <v>8.2718245281015665</v>
      </c>
      <c r="D120" s="9">
        <f t="shared" ca="1" si="8"/>
        <v>0.89219799973391445</v>
      </c>
      <c r="E120" s="10">
        <f t="shared" ca="1" si="9"/>
        <v>9.3939443565488876</v>
      </c>
      <c r="F120" s="9">
        <f t="shared" ca="1" si="10"/>
        <v>0.36524084903951415</v>
      </c>
      <c r="G120" s="10">
        <f t="shared" ca="1" si="11"/>
        <v>2.7001547829283301</v>
      </c>
    </row>
    <row r="121" spans="1:7">
      <c r="A121" s="8">
        <v>116</v>
      </c>
      <c r="B121" s="13">
        <f t="shared" ca="1" si="6"/>
        <v>0.70558812625190748</v>
      </c>
      <c r="C121" s="14">
        <f t="shared" ca="1" si="7"/>
        <v>18.341633413739391</v>
      </c>
      <c r="D121" s="13">
        <f t="shared" ca="1" si="8"/>
        <v>1.8643617875376051E-2</v>
      </c>
      <c r="E121" s="14">
        <f t="shared" ca="1" si="9"/>
        <v>3.5792970928260983</v>
      </c>
      <c r="F121" s="13">
        <f t="shared" ca="1" si="10"/>
        <v>0.60700133540855428</v>
      </c>
      <c r="G121" s="10">
        <f t="shared" ca="1" si="11"/>
        <v>3.9075366202081407</v>
      </c>
    </row>
    <row r="122" spans="1:7">
      <c r="A122" s="8">
        <v>117</v>
      </c>
      <c r="B122" s="9">
        <f t="shared" ca="1" si="6"/>
        <v>0.38747076945622816</v>
      </c>
      <c r="C122" s="10">
        <f t="shared" ca="1" si="7"/>
        <v>7.3523792154781029</v>
      </c>
      <c r="D122" s="9">
        <f t="shared" ca="1" si="8"/>
        <v>0.80354169062630099</v>
      </c>
      <c r="E122" s="10">
        <f t="shared" ca="1" si="9"/>
        <v>8.4819219038595755</v>
      </c>
      <c r="F122" s="9">
        <f t="shared" ca="1" si="10"/>
        <v>0.49179704858215945</v>
      </c>
      <c r="G122" s="10">
        <f t="shared" ca="1" si="11"/>
        <v>3.2794052527535684</v>
      </c>
    </row>
    <row r="123" spans="1:7">
      <c r="A123" s="8">
        <v>118</v>
      </c>
      <c r="B123" s="13">
        <f t="shared" ca="1" si="6"/>
        <v>0.20083515445152011</v>
      </c>
      <c r="C123" s="14">
        <f t="shared" ca="1" si="7"/>
        <v>3.3628205950005543</v>
      </c>
      <c r="D123" s="13">
        <f t="shared" ca="1" si="8"/>
        <v>0.90860385423029189</v>
      </c>
      <c r="E123" s="14">
        <f t="shared" ca="1" si="9"/>
        <v>9.6004256245134609</v>
      </c>
      <c r="F123" s="13">
        <f t="shared" ca="1" si="10"/>
        <v>0.47096328035020074</v>
      </c>
      <c r="G123" s="10">
        <f t="shared" ca="1" si="11"/>
        <v>3.1781231337571967</v>
      </c>
    </row>
    <row r="124" spans="1:7">
      <c r="A124" s="8">
        <v>119</v>
      </c>
      <c r="B124" s="9">
        <f t="shared" ca="1" si="6"/>
        <v>0.36512135375476873</v>
      </c>
      <c r="C124" s="10">
        <f t="shared" ca="1" si="7"/>
        <v>6.814821099422776</v>
      </c>
      <c r="D124" s="9">
        <f t="shared" ca="1" si="8"/>
        <v>0.69928537793377032</v>
      </c>
      <c r="E124" s="10">
        <f t="shared" ca="1" si="9"/>
        <v>7.6474121272313793</v>
      </c>
      <c r="F124" s="9">
        <f t="shared" ca="1" si="10"/>
        <v>0.96790294475682226</v>
      </c>
      <c r="G124" s="10">
        <f t="shared" ca="1" si="11"/>
        <v>10.079438901016609</v>
      </c>
    </row>
    <row r="125" spans="1:7">
      <c r="A125" s="8">
        <v>120</v>
      </c>
      <c r="B125" s="13">
        <f t="shared" ca="1" si="6"/>
        <v>0.18903926174469499</v>
      </c>
      <c r="C125" s="14">
        <f t="shared" ca="1" si="7"/>
        <v>3.1430345634155246</v>
      </c>
      <c r="D125" s="13">
        <f t="shared" ca="1" si="8"/>
        <v>0.57274564308599185</v>
      </c>
      <c r="E125" s="14">
        <f t="shared" ca="1" si="9"/>
        <v>6.8118380436244559</v>
      </c>
      <c r="F125" s="13">
        <f t="shared" ca="1" si="10"/>
        <v>0.12535265873828072</v>
      </c>
      <c r="G125" s="10">
        <f t="shared" ca="1" si="11"/>
        <v>1.6666527154178881</v>
      </c>
    </row>
    <row r="126" spans="1:7">
      <c r="A126" s="8">
        <v>121</v>
      </c>
      <c r="B126" s="9">
        <f t="shared" ca="1" si="6"/>
        <v>0.82103091945590079</v>
      </c>
      <c r="C126" s="10">
        <f t="shared" ca="1" si="7"/>
        <v>25.808133336782884</v>
      </c>
      <c r="D126" s="9">
        <f t="shared" ca="1" si="8"/>
        <v>0.684750904447605</v>
      </c>
      <c r="E126" s="10">
        <f t="shared" ca="1" si="9"/>
        <v>7.54346625505866</v>
      </c>
      <c r="F126" s="9">
        <f t="shared" ca="1" si="10"/>
        <v>0.89013178174440932</v>
      </c>
      <c r="G126" s="10">
        <f t="shared" ca="1" si="11"/>
        <v>6.9333115303427686</v>
      </c>
    </row>
    <row r="127" spans="1:7">
      <c r="A127" s="8">
        <v>122</v>
      </c>
      <c r="B127" s="13">
        <f t="shared" ca="1" si="6"/>
        <v>1.9420398566836305E-2</v>
      </c>
      <c r="C127" s="14">
        <f t="shared" ca="1" si="7"/>
        <v>0.29417178164239965</v>
      </c>
      <c r="D127" s="13">
        <f t="shared" ca="1" si="8"/>
        <v>9.5799896611053481E-2</v>
      </c>
      <c r="E127" s="14">
        <f t="shared" ca="1" si="9"/>
        <v>4.3131634090999347</v>
      </c>
      <c r="F127" s="13">
        <f t="shared" ca="1" si="10"/>
        <v>0.237812560777796</v>
      </c>
      <c r="G127" s="10">
        <f t="shared" ca="1" si="11"/>
        <v>2.1640598979050578</v>
      </c>
    </row>
    <row r="128" spans="1:7">
      <c r="A128" s="8">
        <v>123</v>
      </c>
      <c r="B128" s="9">
        <f t="shared" ca="1" si="6"/>
        <v>0.40184655559286298</v>
      </c>
      <c r="C128" s="10">
        <f t="shared" ca="1" si="7"/>
        <v>7.7086194292210681</v>
      </c>
      <c r="D128" s="9">
        <f t="shared" ca="1" si="8"/>
        <v>0.25237028641238257</v>
      </c>
      <c r="E128" s="10">
        <f t="shared" ca="1" si="9"/>
        <v>5.1370070700881607</v>
      </c>
      <c r="F128" s="9">
        <f t="shared" ca="1" si="10"/>
        <v>0.38645341877790251</v>
      </c>
      <c r="G128" s="10">
        <f t="shared" ca="1" si="11"/>
        <v>2.7922707772778668</v>
      </c>
    </row>
    <row r="129" spans="1:7">
      <c r="A129" s="8">
        <v>124</v>
      </c>
      <c r="B129" s="13">
        <f t="shared" ca="1" si="6"/>
        <v>0.29017737438303071</v>
      </c>
      <c r="C129" s="14">
        <f t="shared" ca="1" si="7"/>
        <v>5.1411024484867447</v>
      </c>
      <c r="D129" s="13">
        <f t="shared" ca="1" si="8"/>
        <v>0.21667859399782285</v>
      </c>
      <c r="E129" s="14">
        <f t="shared" ca="1" si="9"/>
        <v>4.9748961218152239</v>
      </c>
      <c r="F129" s="13">
        <f t="shared" ca="1" si="10"/>
        <v>0.16538420070330284</v>
      </c>
      <c r="G129" s="10">
        <f t="shared" ca="1" si="11"/>
        <v>1.8523583668803103</v>
      </c>
    </row>
    <row r="130" spans="1:7">
      <c r="A130" s="8">
        <v>125</v>
      </c>
      <c r="B130" s="9">
        <f t="shared" ca="1" si="6"/>
        <v>1.0546922186812302E-2</v>
      </c>
      <c r="C130" s="10">
        <f t="shared" ca="1" si="7"/>
        <v>0.15904402742586954</v>
      </c>
      <c r="D130" s="9">
        <f t="shared" ca="1" si="8"/>
        <v>0.28043444471779788</v>
      </c>
      <c r="E130" s="10">
        <f t="shared" ca="1" si="9"/>
        <v>5.2670489395229723</v>
      </c>
      <c r="F130" s="9">
        <f t="shared" ca="1" si="10"/>
        <v>0.6390849326058502</v>
      </c>
      <c r="G130" s="10">
        <f t="shared" ca="1" si="11"/>
        <v>4.1107617693349487</v>
      </c>
    </row>
    <row r="131" spans="1:7">
      <c r="A131" s="8">
        <v>126</v>
      </c>
      <c r="B131" s="13">
        <f t="shared" ca="1" si="6"/>
        <v>0.86371296459061764</v>
      </c>
      <c r="C131" s="14">
        <f t="shared" ca="1" si="7"/>
        <v>29.894880942849198</v>
      </c>
      <c r="D131" s="13">
        <f t="shared" ca="1" si="8"/>
        <v>0.81563039704495433</v>
      </c>
      <c r="E131" s="14">
        <f t="shared" ca="1" si="9"/>
        <v>8.591879552279897</v>
      </c>
      <c r="F131" s="13">
        <f t="shared" ca="1" si="10"/>
        <v>4.2589690685284953E-2</v>
      </c>
      <c r="G131" s="10">
        <f t="shared" ca="1" si="11"/>
        <v>1.1819477298016754</v>
      </c>
    </row>
    <row r="132" spans="1:7">
      <c r="A132" s="8">
        <v>127</v>
      </c>
      <c r="B132" s="9">
        <f t="shared" ca="1" si="6"/>
        <v>0.10458647382493358</v>
      </c>
      <c r="C132" s="10">
        <f t="shared" ca="1" si="7"/>
        <v>1.6570444049402979</v>
      </c>
      <c r="D132" s="9">
        <f t="shared" ca="1" si="8"/>
        <v>0.237817975962063</v>
      </c>
      <c r="E132" s="10">
        <f t="shared" ca="1" si="9"/>
        <v>5.0705362751227252</v>
      </c>
      <c r="F132" s="9">
        <f t="shared" ca="1" si="10"/>
        <v>0.62968813423060532</v>
      </c>
      <c r="G132" s="10">
        <f t="shared" ca="1" si="11"/>
        <v>4.0495934187698346</v>
      </c>
    </row>
    <row r="133" spans="1:7">
      <c r="A133" s="8">
        <v>128</v>
      </c>
      <c r="B133" s="13">
        <f t="shared" ca="1" si="6"/>
        <v>0.45514743421125092</v>
      </c>
      <c r="C133" s="14">
        <f t="shared" ca="1" si="7"/>
        <v>9.1086006360744758</v>
      </c>
      <c r="D133" s="13">
        <f t="shared" ca="1" si="8"/>
        <v>0.39797593224882299</v>
      </c>
      <c r="E133" s="14">
        <f t="shared" ca="1" si="9"/>
        <v>5.8414680102865297</v>
      </c>
      <c r="F133" s="13">
        <f t="shared" ca="1" si="10"/>
        <v>0.53193659929873216</v>
      </c>
      <c r="G133" s="10">
        <f t="shared" ca="1" si="11"/>
        <v>3.4836595192438673</v>
      </c>
    </row>
    <row r="134" spans="1:7">
      <c r="A134" s="8">
        <v>129</v>
      </c>
      <c r="B134" s="9">
        <f t="shared" ref="B134:B197" ca="1" si="12">RAND()</f>
        <v>0.42574544975255324</v>
      </c>
      <c r="C134" s="10">
        <f t="shared" ref="C134:C197" ca="1" si="13">-$J$6 * LN(1 - B134)</f>
        <v>8.3202377045264821</v>
      </c>
      <c r="D134" s="9">
        <f t="shared" ref="D134:D197" ca="1" si="14">RAND()</f>
        <v>0.85329389607388784</v>
      </c>
      <c r="E134" s="10">
        <f t="shared" ref="E134:E197" ca="1" si="15">IF(D134&lt;=$N$9, $N$6+SQRT(D134*($N$8-$N$6)*($N$7-$N$6)), $N$8-SQRT((1-D134)*($N$8-$N$6)*($N$8-$N$7)))</f>
        <v>8.959854518720352</v>
      </c>
      <c r="F134" s="9">
        <f t="shared" ref="F134:F197" ca="1" si="16">RAND()</f>
        <v>0.94219257901885334</v>
      </c>
      <c r="G134" s="10">
        <f t="shared" ca="1" si="11"/>
        <v>8.5340967433773169</v>
      </c>
    </row>
    <row r="135" spans="1:7">
      <c r="A135" s="8">
        <v>130</v>
      </c>
      <c r="B135" s="13">
        <f t="shared" ca="1" si="12"/>
        <v>0.99356697093227953</v>
      </c>
      <c r="C135" s="14">
        <f t="shared" ca="1" si="13"/>
        <v>75.694646520462641</v>
      </c>
      <c r="D135" s="13">
        <f t="shared" ca="1" si="14"/>
        <v>0.61924204205679567</v>
      </c>
      <c r="E135" s="14">
        <f t="shared" ca="1" si="15"/>
        <v>7.1022707965403118</v>
      </c>
      <c r="F135" s="13">
        <f t="shared" ca="1" si="16"/>
        <v>0.31535717027899535</v>
      </c>
      <c r="G135" s="10">
        <f t="shared" ref="G135:G198" ca="1" si="17">_xlfn.LOGNORM.INV(F135, $R$6, $R$7)</f>
        <v>2.488218540686864</v>
      </c>
    </row>
    <row r="136" spans="1:7">
      <c r="A136" s="8">
        <v>131</v>
      </c>
      <c r="B136" s="9">
        <f t="shared" ca="1" si="12"/>
        <v>0.40772996267344108</v>
      </c>
      <c r="C136" s="10">
        <f t="shared" ca="1" si="13"/>
        <v>7.8568890595131</v>
      </c>
      <c r="D136" s="9">
        <f t="shared" ca="1" si="14"/>
        <v>0.5000932852828649</v>
      </c>
      <c r="E136" s="10">
        <f t="shared" ca="1" si="15"/>
        <v>6.3880375066132604</v>
      </c>
      <c r="F136" s="9">
        <f t="shared" ca="1" si="16"/>
        <v>0.2654769781316656</v>
      </c>
      <c r="G136" s="10">
        <f t="shared" ca="1" si="17"/>
        <v>2.2797589855587814</v>
      </c>
    </row>
    <row r="137" spans="1:7">
      <c r="A137" s="8">
        <v>132</v>
      </c>
      <c r="B137" s="13">
        <f t="shared" ca="1" si="12"/>
        <v>0.91143433555850684</v>
      </c>
      <c r="C137" s="14">
        <f t="shared" ca="1" si="13"/>
        <v>36.360165465036054</v>
      </c>
      <c r="D137" s="13">
        <f t="shared" ca="1" si="14"/>
        <v>0.56931642253995507</v>
      </c>
      <c r="E137" s="14">
        <f t="shared" ca="1" si="15"/>
        <v>6.7910590922930574</v>
      </c>
      <c r="F137" s="13">
        <f t="shared" ca="1" si="16"/>
        <v>0.74623502879239345</v>
      </c>
      <c r="G137" s="10">
        <f t="shared" ca="1" si="17"/>
        <v>4.9412247501817665</v>
      </c>
    </row>
    <row r="138" spans="1:7">
      <c r="A138" s="8">
        <v>133</v>
      </c>
      <c r="B138" s="9">
        <f t="shared" ca="1" si="12"/>
        <v>0.81593972405910731</v>
      </c>
      <c r="C138" s="10">
        <f t="shared" ca="1" si="13"/>
        <v>25.387379825739774</v>
      </c>
      <c r="D138" s="9">
        <f t="shared" ca="1" si="14"/>
        <v>0.70593879599523102</v>
      </c>
      <c r="E138" s="10">
        <f t="shared" ca="1" si="15"/>
        <v>7.6958327341632682</v>
      </c>
      <c r="F138" s="9">
        <f t="shared" ca="1" si="16"/>
        <v>0.92451598854084849</v>
      </c>
      <c r="G138" s="10">
        <f t="shared" ca="1" si="17"/>
        <v>7.8591021463462258</v>
      </c>
    </row>
    <row r="139" spans="1:7">
      <c r="A139" s="8">
        <v>134</v>
      </c>
      <c r="B139" s="13">
        <f t="shared" ca="1" si="12"/>
        <v>0.31647868059846684</v>
      </c>
      <c r="C139" s="14">
        <f t="shared" ca="1" si="13"/>
        <v>5.7074614768210514</v>
      </c>
      <c r="D139" s="13">
        <f t="shared" ca="1" si="14"/>
        <v>0.9209423745723474</v>
      </c>
      <c r="E139" s="14">
        <f t="shared" ca="1" si="15"/>
        <v>9.7682673990950182</v>
      </c>
      <c r="F139" s="13">
        <f t="shared" ca="1" si="16"/>
        <v>0.11067447712949541</v>
      </c>
      <c r="G139" s="10">
        <f t="shared" ca="1" si="17"/>
        <v>1.5939745140223627</v>
      </c>
    </row>
    <row r="140" spans="1:7">
      <c r="A140" s="8">
        <v>135</v>
      </c>
      <c r="B140" s="9">
        <f t="shared" ca="1" si="12"/>
        <v>0.50630241689377697</v>
      </c>
      <c r="C140" s="10">
        <f t="shared" ca="1" si="13"/>
        <v>10.587481937996772</v>
      </c>
      <c r="D140" s="9">
        <f t="shared" ca="1" si="14"/>
        <v>0.98477744084807151</v>
      </c>
      <c r="E140" s="10">
        <f t="shared" ca="1" si="15"/>
        <v>11.020703708486806</v>
      </c>
      <c r="F140" s="9">
        <f t="shared" ca="1" si="16"/>
        <v>0.55063162475823502</v>
      </c>
      <c r="G140" s="10">
        <f t="shared" ca="1" si="17"/>
        <v>3.5835516281122417</v>
      </c>
    </row>
    <row r="141" spans="1:7">
      <c r="A141" s="8">
        <v>136</v>
      </c>
      <c r="B141" s="13">
        <f t="shared" ca="1" si="12"/>
        <v>0.25681390470978116</v>
      </c>
      <c r="C141" s="14">
        <f t="shared" ca="1" si="13"/>
        <v>4.4521320135156666</v>
      </c>
      <c r="D141" s="13">
        <f t="shared" ca="1" si="14"/>
        <v>0.36929873286794124</v>
      </c>
      <c r="E141" s="14">
        <f t="shared" ca="1" si="15"/>
        <v>5.6964946395422409</v>
      </c>
      <c r="F141" s="13">
        <f t="shared" ca="1" si="16"/>
        <v>0.37187892865214545</v>
      </c>
      <c r="G141" s="10">
        <f t="shared" ca="1" si="17"/>
        <v>2.7288257059921346</v>
      </c>
    </row>
    <row r="142" spans="1:7">
      <c r="A142" s="8">
        <v>137</v>
      </c>
      <c r="B142" s="9">
        <f t="shared" ca="1" si="12"/>
        <v>0.32837381041337188</v>
      </c>
      <c r="C142" s="10">
        <f t="shared" ca="1" si="13"/>
        <v>5.9708003809219043</v>
      </c>
      <c r="D142" s="9">
        <f t="shared" ca="1" si="14"/>
        <v>0.3135322930402088</v>
      </c>
      <c r="E142" s="10">
        <f t="shared" ca="1" si="15"/>
        <v>5.4237194753822395</v>
      </c>
      <c r="F142" s="9">
        <f t="shared" ca="1" si="16"/>
        <v>0.10501894080655161</v>
      </c>
      <c r="G142" s="10">
        <f t="shared" ca="1" si="17"/>
        <v>1.5650585438040072</v>
      </c>
    </row>
    <row r="143" spans="1:7">
      <c r="A143" s="8">
        <v>138</v>
      </c>
      <c r="B143" s="13">
        <f t="shared" ca="1" si="12"/>
        <v>0.99003170438175947</v>
      </c>
      <c r="C143" s="14">
        <f t="shared" ca="1" si="13"/>
        <v>69.125184909768251</v>
      </c>
      <c r="D143" s="13">
        <f t="shared" ca="1" si="14"/>
        <v>0.65988688526190564</v>
      </c>
      <c r="E143" s="14">
        <f t="shared" ca="1" si="15"/>
        <v>7.3710556032179495</v>
      </c>
      <c r="F143" s="13">
        <f t="shared" ca="1" si="16"/>
        <v>0.86540735100824528</v>
      </c>
      <c r="G143" s="10">
        <f t="shared" ca="1" si="17"/>
        <v>6.4428075642985005</v>
      </c>
    </row>
    <row r="144" spans="1:7">
      <c r="A144" s="8">
        <v>139</v>
      </c>
      <c r="B144" s="9">
        <f t="shared" ca="1" si="12"/>
        <v>0.81119393814542906</v>
      </c>
      <c r="C144" s="10">
        <f t="shared" ca="1" si="13"/>
        <v>25.005523777583967</v>
      </c>
      <c r="D144" s="9">
        <f t="shared" ca="1" si="14"/>
        <v>0.29721850340565825</v>
      </c>
      <c r="E144" s="10">
        <f t="shared" ca="1" si="15"/>
        <v>5.346036197465188</v>
      </c>
      <c r="F144" s="9">
        <f t="shared" ca="1" si="16"/>
        <v>0.51237586536861157</v>
      </c>
      <c r="G144" s="10">
        <f t="shared" ca="1" si="17"/>
        <v>3.3825031177718019</v>
      </c>
    </row>
    <row r="145" spans="1:7">
      <c r="A145" s="8">
        <v>140</v>
      </c>
      <c r="B145" s="13">
        <f t="shared" ca="1" si="12"/>
        <v>0.38320758585120929</v>
      </c>
      <c r="C145" s="14">
        <f t="shared" ca="1" si="13"/>
        <v>7.2483413329470547</v>
      </c>
      <c r="D145" s="13">
        <f t="shared" ca="1" si="14"/>
        <v>0.28378942824866593</v>
      </c>
      <c r="E145" s="14">
        <f t="shared" ca="1" si="15"/>
        <v>5.2827635131451531</v>
      </c>
      <c r="F145" s="13">
        <f t="shared" ca="1" si="16"/>
        <v>8.612098562327053E-2</v>
      </c>
      <c r="G145" s="10">
        <f t="shared" ca="1" si="17"/>
        <v>1.4637166476827559</v>
      </c>
    </row>
    <row r="146" spans="1:7">
      <c r="A146" s="8">
        <v>141</v>
      </c>
      <c r="B146" s="9">
        <f t="shared" ca="1" si="12"/>
        <v>3.1505078943796505E-2</v>
      </c>
      <c r="C146" s="10">
        <f t="shared" ca="1" si="13"/>
        <v>0.48018060424282616</v>
      </c>
      <c r="D146" s="9">
        <f t="shared" ca="1" si="14"/>
        <v>0.18298868758282849</v>
      </c>
      <c r="E146" s="10">
        <f t="shared" ca="1" si="15"/>
        <v>4.8148819180571811</v>
      </c>
      <c r="F146" s="9">
        <f t="shared" ca="1" si="16"/>
        <v>5.9064675478904816E-2</v>
      </c>
      <c r="G146" s="10">
        <f t="shared" ca="1" si="17"/>
        <v>1.3000409293584978</v>
      </c>
    </row>
    <row r="147" spans="1:7">
      <c r="A147" s="8">
        <v>142</v>
      </c>
      <c r="B147" s="13">
        <f t="shared" ca="1" si="12"/>
        <v>0.66916711715481214</v>
      </c>
      <c r="C147" s="14">
        <f t="shared" ca="1" si="13"/>
        <v>16.592128751502639</v>
      </c>
      <c r="D147" s="13">
        <f t="shared" ca="1" si="14"/>
        <v>0.28039513732412324</v>
      </c>
      <c r="E147" s="14">
        <f t="shared" ca="1" si="15"/>
        <v>5.2668650430441959</v>
      </c>
      <c r="F147" s="13">
        <f t="shared" ca="1" si="16"/>
        <v>7.489080884817878E-2</v>
      </c>
      <c r="G147" s="10">
        <f t="shared" ca="1" si="17"/>
        <v>1.3990844244798941</v>
      </c>
    </row>
    <row r="148" spans="1:7">
      <c r="A148" s="8">
        <v>143</v>
      </c>
      <c r="B148" s="9">
        <f t="shared" ca="1" si="12"/>
        <v>9.1801990086953444E-2</v>
      </c>
      <c r="C148" s="10">
        <f t="shared" ca="1" si="13"/>
        <v>1.4443927734563111</v>
      </c>
      <c r="D148" s="9">
        <f t="shared" ca="1" si="14"/>
        <v>0.52292898172022506</v>
      </c>
      <c r="E148" s="10">
        <f t="shared" ca="1" si="15"/>
        <v>6.5177126897958164</v>
      </c>
      <c r="F148" s="9">
        <f t="shared" ca="1" si="16"/>
        <v>0.56130498273939322</v>
      </c>
      <c r="G148" s="10">
        <f t="shared" ca="1" si="17"/>
        <v>3.6421245793145918</v>
      </c>
    </row>
    <row r="149" spans="1:7">
      <c r="A149" s="8">
        <v>144</v>
      </c>
      <c r="B149" s="13">
        <f t="shared" ca="1" si="12"/>
        <v>0.44752778192507359</v>
      </c>
      <c r="C149" s="14">
        <f t="shared" ca="1" si="13"/>
        <v>8.9002819632269361</v>
      </c>
      <c r="D149" s="13">
        <f t="shared" ca="1" si="14"/>
        <v>0.77068634300970051</v>
      </c>
      <c r="E149" s="14">
        <f t="shared" ca="1" si="15"/>
        <v>8.1991105790369456</v>
      </c>
      <c r="F149" s="13">
        <f t="shared" ca="1" si="16"/>
        <v>0.27060577168238165</v>
      </c>
      <c r="G149" s="10">
        <f t="shared" ca="1" si="17"/>
        <v>2.3011542437739085</v>
      </c>
    </row>
    <row r="150" spans="1:7">
      <c r="A150" s="8">
        <v>145</v>
      </c>
      <c r="B150" s="9">
        <f t="shared" ca="1" si="12"/>
        <v>0.53787221697923149</v>
      </c>
      <c r="C150" s="10">
        <f t="shared" ca="1" si="13"/>
        <v>11.578707592775809</v>
      </c>
      <c r="D150" s="9">
        <f t="shared" ca="1" si="14"/>
        <v>0.6139028767953113</v>
      </c>
      <c r="E150" s="10">
        <f t="shared" ca="1" si="15"/>
        <v>7.0680512206739827</v>
      </c>
      <c r="F150" s="9">
        <f t="shared" ca="1" si="16"/>
        <v>0.77854769832076542</v>
      </c>
      <c r="G150" s="10">
        <f t="shared" ca="1" si="17"/>
        <v>5.2613021419699564</v>
      </c>
    </row>
    <row r="151" spans="1:7">
      <c r="A151" s="8">
        <v>146</v>
      </c>
      <c r="B151" s="13">
        <f t="shared" ca="1" si="12"/>
        <v>0.24725032146865633</v>
      </c>
      <c r="C151" s="14">
        <f t="shared" ca="1" si="13"/>
        <v>4.2603380801906576</v>
      </c>
      <c r="D151" s="13">
        <f t="shared" ca="1" si="14"/>
        <v>0.33461909936835355</v>
      </c>
      <c r="E151" s="14">
        <f t="shared" ca="1" si="15"/>
        <v>5.5255118549962789</v>
      </c>
      <c r="F151" s="13">
        <f t="shared" ca="1" si="16"/>
        <v>0.88996703744715977</v>
      </c>
      <c r="G151" s="10">
        <f t="shared" ca="1" si="17"/>
        <v>6.9296666084028073</v>
      </c>
    </row>
    <row r="152" spans="1:7">
      <c r="A152" s="8">
        <v>147</v>
      </c>
      <c r="B152" s="9">
        <f t="shared" ca="1" si="12"/>
        <v>0.52882193097765595</v>
      </c>
      <c r="C152" s="10">
        <f t="shared" ca="1" si="13"/>
        <v>11.28778785824642</v>
      </c>
      <c r="D152" s="9">
        <f t="shared" ca="1" si="14"/>
        <v>0.71592891361200728</v>
      </c>
      <c r="E152" s="10">
        <f t="shared" ca="1" si="15"/>
        <v>7.7695770374058881</v>
      </c>
      <c r="F152" s="9">
        <f t="shared" ca="1" si="16"/>
        <v>0.41481547874242874</v>
      </c>
      <c r="G152" s="10">
        <f t="shared" ca="1" si="17"/>
        <v>2.9179901032304461</v>
      </c>
    </row>
    <row r="153" spans="1:7">
      <c r="A153" s="8">
        <v>148</v>
      </c>
      <c r="B153" s="13">
        <f t="shared" ca="1" si="12"/>
        <v>0.95256604761378239</v>
      </c>
      <c r="C153" s="14">
        <f t="shared" ca="1" si="13"/>
        <v>45.726255174451452</v>
      </c>
      <c r="D153" s="13">
        <f t="shared" ca="1" si="14"/>
        <v>3.8448956466457518E-2</v>
      </c>
      <c r="E153" s="14">
        <f t="shared" ca="1" si="15"/>
        <v>3.831914188120527</v>
      </c>
      <c r="F153" s="13">
        <f t="shared" ca="1" si="16"/>
        <v>0.48484956343002239</v>
      </c>
      <c r="G153" s="10">
        <f t="shared" ca="1" si="17"/>
        <v>3.245302650725316</v>
      </c>
    </row>
    <row r="154" spans="1:7">
      <c r="A154" s="8">
        <v>149</v>
      </c>
      <c r="B154" s="9">
        <f t="shared" ca="1" si="12"/>
        <v>0.55841349722132416</v>
      </c>
      <c r="C154" s="10">
        <f t="shared" ca="1" si="13"/>
        <v>12.260720232693506</v>
      </c>
      <c r="D154" s="9">
        <f t="shared" ca="1" si="14"/>
        <v>0.28920807055499498</v>
      </c>
      <c r="E154" s="10">
        <f t="shared" ca="1" si="15"/>
        <v>5.3082220931179052</v>
      </c>
      <c r="F154" s="9">
        <f t="shared" ca="1" si="16"/>
        <v>0.75221010812574318</v>
      </c>
      <c r="G154" s="10">
        <f t="shared" ca="1" si="17"/>
        <v>4.9971944736683707</v>
      </c>
    </row>
    <row r="155" spans="1:7">
      <c r="A155" s="8">
        <v>150</v>
      </c>
      <c r="B155" s="13">
        <f t="shared" ca="1" si="12"/>
        <v>0.13221775462041774</v>
      </c>
      <c r="C155" s="14">
        <f t="shared" ca="1" si="13"/>
        <v>2.12721697759702</v>
      </c>
      <c r="D155" s="13">
        <f t="shared" ca="1" si="14"/>
        <v>0.9468468025679817</v>
      </c>
      <c r="E155" s="14">
        <f t="shared" ca="1" si="15"/>
        <v>10.170067914315629</v>
      </c>
      <c r="F155" s="13">
        <f t="shared" ca="1" si="16"/>
        <v>0.50729201613626251</v>
      </c>
      <c r="G155" s="10">
        <f t="shared" ca="1" si="17"/>
        <v>3.3567311722938808</v>
      </c>
    </row>
    <row r="156" spans="1:7">
      <c r="A156" s="8">
        <v>151</v>
      </c>
      <c r="B156" s="9">
        <f t="shared" ca="1" si="12"/>
        <v>0.25996966330110227</v>
      </c>
      <c r="C156" s="10">
        <f t="shared" ca="1" si="13"/>
        <v>4.5159614712774712</v>
      </c>
      <c r="D156" s="9">
        <f t="shared" ca="1" si="14"/>
        <v>0.10997551979132469</v>
      </c>
      <c r="E156" s="10">
        <f t="shared" ca="1" si="15"/>
        <v>4.4069681432938861</v>
      </c>
      <c r="F156" s="9">
        <f t="shared" ca="1" si="16"/>
        <v>0.6879252853246951</v>
      </c>
      <c r="G156" s="10">
        <f t="shared" ca="1" si="17"/>
        <v>4.454820782137217</v>
      </c>
    </row>
    <row r="157" spans="1:7">
      <c r="A157" s="8">
        <v>152</v>
      </c>
      <c r="B157" s="13">
        <f t="shared" ca="1" si="12"/>
        <v>0.88856126193907259</v>
      </c>
      <c r="C157" s="14">
        <f t="shared" ca="1" si="13"/>
        <v>32.914204102612729</v>
      </c>
      <c r="D157" s="13">
        <f t="shared" ca="1" si="14"/>
        <v>0.92449624002768083</v>
      </c>
      <c r="E157" s="14">
        <f t="shared" ca="1" si="15"/>
        <v>9.8190055299803927</v>
      </c>
      <c r="F157" s="13">
        <f t="shared" ca="1" si="16"/>
        <v>3.8338216128893099E-2</v>
      </c>
      <c r="G157" s="10">
        <f t="shared" ca="1" si="17"/>
        <v>1.1477658484217441</v>
      </c>
    </row>
    <row r="158" spans="1:7">
      <c r="A158" s="8">
        <v>153</v>
      </c>
      <c r="B158" s="9">
        <f t="shared" ca="1" si="12"/>
        <v>0.21470315224787684</v>
      </c>
      <c r="C158" s="10">
        <f t="shared" ca="1" si="13"/>
        <v>3.6254022401657475</v>
      </c>
      <c r="D158" s="9">
        <f t="shared" ca="1" si="14"/>
        <v>0.17991000890386433</v>
      </c>
      <c r="E158" s="10">
        <f t="shared" ca="1" si="15"/>
        <v>4.7995499882663886</v>
      </c>
      <c r="F158" s="9">
        <f t="shared" ca="1" si="16"/>
        <v>0.58625447915880791</v>
      </c>
      <c r="G158" s="10">
        <f t="shared" ca="1" si="17"/>
        <v>3.7838889734496721</v>
      </c>
    </row>
    <row r="159" spans="1:7">
      <c r="A159" s="8">
        <v>154</v>
      </c>
      <c r="B159" s="13">
        <f t="shared" ca="1" si="12"/>
        <v>0.44892374848931993</v>
      </c>
      <c r="C159" s="14">
        <f t="shared" ca="1" si="13"/>
        <v>8.9382313786078758</v>
      </c>
      <c r="D159" s="13">
        <f t="shared" ca="1" si="14"/>
        <v>0.64223044499155646</v>
      </c>
      <c r="E159" s="14">
        <f t="shared" ca="1" si="15"/>
        <v>7.2524235692795909</v>
      </c>
      <c r="F159" s="13">
        <f t="shared" ca="1" si="16"/>
        <v>0.71807813914316521</v>
      </c>
      <c r="G159" s="10">
        <f t="shared" ca="1" si="17"/>
        <v>4.6939996988536699</v>
      </c>
    </row>
    <row r="160" spans="1:7">
      <c r="A160" s="8">
        <v>155</v>
      </c>
      <c r="B160" s="9">
        <f t="shared" ca="1" si="12"/>
        <v>0.94085635106513765</v>
      </c>
      <c r="C160" s="10">
        <f t="shared" ca="1" si="13"/>
        <v>42.416790997713363</v>
      </c>
      <c r="D160" s="9">
        <f t="shared" ca="1" si="14"/>
        <v>2.0071161760734424E-2</v>
      </c>
      <c r="E160" s="10">
        <f t="shared" ca="1" si="15"/>
        <v>3.6010664785971844</v>
      </c>
      <c r="F160" s="9">
        <f t="shared" ca="1" si="16"/>
        <v>0.84928824223793298</v>
      </c>
      <c r="G160" s="10">
        <f t="shared" ca="1" si="17"/>
        <v>6.1720517418835321</v>
      </c>
    </row>
    <row r="161" spans="1:7">
      <c r="A161" s="8">
        <v>156</v>
      </c>
      <c r="B161" s="13">
        <f t="shared" ca="1" si="12"/>
        <v>0.13124577429718221</v>
      </c>
      <c r="C161" s="14">
        <f t="shared" ca="1" si="13"/>
        <v>2.1104252699492028</v>
      </c>
      <c r="D161" s="13">
        <f t="shared" ca="1" si="14"/>
        <v>0.70452870578671367</v>
      </c>
      <c r="E161" s="14">
        <f t="shared" ca="1" si="15"/>
        <v>7.6855253465297722</v>
      </c>
      <c r="F161" s="13">
        <f t="shared" ca="1" si="16"/>
        <v>0.41713359488812951</v>
      </c>
      <c r="G161" s="10">
        <f t="shared" ca="1" si="17"/>
        <v>2.9284136023709242</v>
      </c>
    </row>
    <row r="162" spans="1:7">
      <c r="A162" s="8">
        <v>157</v>
      </c>
      <c r="B162" s="9">
        <f t="shared" ca="1" si="12"/>
        <v>0.71655106147319825</v>
      </c>
      <c r="C162" s="10">
        <f t="shared" ca="1" si="13"/>
        <v>18.910849245792594</v>
      </c>
      <c r="D162" s="9">
        <f t="shared" ca="1" si="14"/>
        <v>0.1703351287530569</v>
      </c>
      <c r="E162" s="10">
        <f t="shared" ca="1" si="15"/>
        <v>4.7510089427398778</v>
      </c>
      <c r="F162" s="9">
        <f t="shared" ca="1" si="16"/>
        <v>0.24051371731460414</v>
      </c>
      <c r="G162" s="10">
        <f t="shared" ca="1" si="17"/>
        <v>2.1753930989191366</v>
      </c>
    </row>
    <row r="163" spans="1:7">
      <c r="A163" s="8">
        <v>158</v>
      </c>
      <c r="B163" s="13">
        <f t="shared" ca="1" si="12"/>
        <v>0.29426885835957217</v>
      </c>
      <c r="C163" s="14">
        <f t="shared" ca="1" si="13"/>
        <v>5.2278139983770435</v>
      </c>
      <c r="D163" s="13">
        <f t="shared" ca="1" si="14"/>
        <v>0.37394746525213707</v>
      </c>
      <c r="E163" s="14">
        <f t="shared" ca="1" si="15"/>
        <v>5.7197683411266294</v>
      </c>
      <c r="F163" s="13">
        <f t="shared" ca="1" si="16"/>
        <v>0.93775794134525825</v>
      </c>
      <c r="G163" s="10">
        <f t="shared" ca="1" si="17"/>
        <v>8.3455859566805692</v>
      </c>
    </row>
    <row r="164" spans="1:7">
      <c r="A164" s="8">
        <v>159</v>
      </c>
      <c r="B164" s="9">
        <f t="shared" ca="1" si="12"/>
        <v>0.59788692497439566</v>
      </c>
      <c r="C164" s="10">
        <f t="shared" ca="1" si="13"/>
        <v>13.665329231355368</v>
      </c>
      <c r="D164" s="9">
        <f t="shared" ca="1" si="14"/>
        <v>0.91738795508478743</v>
      </c>
      <c r="E164" s="10">
        <f t="shared" ca="1" si="15"/>
        <v>9.7186497792626412</v>
      </c>
      <c r="F164" s="9">
        <f t="shared" ca="1" si="16"/>
        <v>0.63901334740302707</v>
      </c>
      <c r="G164" s="10">
        <f t="shared" ca="1" si="17"/>
        <v>4.1102902824725698</v>
      </c>
    </row>
    <row r="165" spans="1:7">
      <c r="A165" s="8">
        <v>160</v>
      </c>
      <c r="B165" s="13">
        <f t="shared" ca="1" si="12"/>
        <v>7.9123282535122019E-2</v>
      </c>
      <c r="C165" s="14">
        <f t="shared" ca="1" si="13"/>
        <v>1.2364366341758977</v>
      </c>
      <c r="D165" s="13">
        <f t="shared" ca="1" si="14"/>
        <v>0.75484706272995628</v>
      </c>
      <c r="E165" s="14">
        <f t="shared" ca="1" si="15"/>
        <v>8.070033709048797</v>
      </c>
      <c r="F165" s="13">
        <f t="shared" ca="1" si="16"/>
        <v>0.27872408573482499</v>
      </c>
      <c r="G165" s="10">
        <f t="shared" ca="1" si="17"/>
        <v>2.3350151403156945</v>
      </c>
    </row>
    <row r="166" spans="1:7">
      <c r="A166" s="8">
        <v>161</v>
      </c>
      <c r="B166" s="9">
        <f t="shared" ca="1" si="12"/>
        <v>6.9489933539933046E-2</v>
      </c>
      <c r="C166" s="10">
        <f t="shared" ca="1" si="13"/>
        <v>1.0803357693607276</v>
      </c>
      <c r="D166" s="9">
        <f t="shared" ca="1" si="14"/>
        <v>0.72352500383637242</v>
      </c>
      <c r="E166" s="10">
        <f t="shared" ca="1" si="15"/>
        <v>7.8265212641839739</v>
      </c>
      <c r="F166" s="9">
        <f t="shared" ca="1" si="16"/>
        <v>4.5103868993436658E-2</v>
      </c>
      <c r="G166" s="10">
        <f t="shared" ca="1" si="17"/>
        <v>1.2013167588949674</v>
      </c>
    </row>
    <row r="167" spans="1:7">
      <c r="A167" s="8">
        <v>162</v>
      </c>
      <c r="B167" s="13">
        <f t="shared" ca="1" si="12"/>
        <v>0.26362501106633096</v>
      </c>
      <c r="C167" s="14">
        <f t="shared" ca="1" si="13"/>
        <v>4.590236912526068</v>
      </c>
      <c r="D167" s="13">
        <f t="shared" ca="1" si="14"/>
        <v>0.6364715474854451</v>
      </c>
      <c r="E167" s="14">
        <f t="shared" ca="1" si="15"/>
        <v>7.2143660285791853</v>
      </c>
      <c r="F167" s="13">
        <f t="shared" ca="1" si="16"/>
        <v>0.79144887563487953</v>
      </c>
      <c r="G167" s="10">
        <f t="shared" ca="1" si="17"/>
        <v>5.4025727470426794</v>
      </c>
    </row>
    <row r="168" spans="1:7">
      <c r="A168" s="8">
        <v>163</v>
      </c>
      <c r="B168" s="9">
        <f t="shared" ca="1" si="12"/>
        <v>0.3502472825698123</v>
      </c>
      <c r="C168" s="10">
        <f t="shared" ca="1" si="13"/>
        <v>6.4674513479833546</v>
      </c>
      <c r="D168" s="9">
        <f t="shared" ca="1" si="14"/>
        <v>5.3561909317356715E-4</v>
      </c>
      <c r="E168" s="10">
        <f t="shared" ca="1" si="15"/>
        <v>3.0981893256781214</v>
      </c>
      <c r="F168" s="9">
        <f t="shared" ca="1" si="16"/>
        <v>0.10030044805675908</v>
      </c>
      <c r="G168" s="10">
        <f t="shared" ca="1" si="17"/>
        <v>1.5404816366746303</v>
      </c>
    </row>
    <row r="169" spans="1:7">
      <c r="A169" s="8">
        <v>164</v>
      </c>
      <c r="B169" s="13">
        <f t="shared" ca="1" si="12"/>
        <v>0.42466091683548746</v>
      </c>
      <c r="C169" s="14">
        <f t="shared" ca="1" si="13"/>
        <v>8.2919355321597941</v>
      </c>
      <c r="D169" s="13">
        <f t="shared" ca="1" si="14"/>
        <v>0.80069362780856146</v>
      </c>
      <c r="E169" s="14">
        <f t="shared" ca="1" si="15"/>
        <v>8.4565128124881515</v>
      </c>
      <c r="F169" s="13">
        <f t="shared" ca="1" si="16"/>
        <v>1.7644671119584787E-2</v>
      </c>
      <c r="G169" s="10">
        <f t="shared" ca="1" si="17"/>
        <v>0.93893075075551258</v>
      </c>
    </row>
    <row r="170" spans="1:7">
      <c r="A170" s="8">
        <v>165</v>
      </c>
      <c r="B170" s="9">
        <f t="shared" ca="1" si="12"/>
        <v>0.72471627831710916</v>
      </c>
      <c r="C170" s="10">
        <f t="shared" ca="1" si="13"/>
        <v>19.349294969361139</v>
      </c>
      <c r="D170" s="9">
        <f t="shared" ca="1" si="14"/>
        <v>0.60771216255720906</v>
      </c>
      <c r="E170" s="10">
        <f t="shared" ca="1" si="15"/>
        <v>7.0286688142011871</v>
      </c>
      <c r="F170" s="9">
        <f t="shared" ca="1" si="16"/>
        <v>7.3567030234299446E-2</v>
      </c>
      <c r="G170" s="10">
        <f t="shared" ca="1" si="17"/>
        <v>1.3911941837242461</v>
      </c>
    </row>
    <row r="171" spans="1:7">
      <c r="A171" s="8">
        <v>166</v>
      </c>
      <c r="B171" s="13">
        <f t="shared" ca="1" si="12"/>
        <v>0.30268437848593621</v>
      </c>
      <c r="C171" s="14">
        <f t="shared" ca="1" si="13"/>
        <v>5.4077571321962923</v>
      </c>
      <c r="D171" s="13">
        <f t="shared" ca="1" si="14"/>
        <v>0.22659658676821326</v>
      </c>
      <c r="E171" s="14">
        <f t="shared" ca="1" si="15"/>
        <v>5.0197123960682992</v>
      </c>
      <c r="F171" s="13">
        <f t="shared" ca="1" si="16"/>
        <v>0.42965487096490895</v>
      </c>
      <c r="G171" s="10">
        <f t="shared" ca="1" si="17"/>
        <v>2.9851448077008924</v>
      </c>
    </row>
    <row r="172" spans="1:7">
      <c r="A172" s="8">
        <v>167</v>
      </c>
      <c r="B172" s="9">
        <f t="shared" ca="1" si="12"/>
        <v>2.9672435824201759E-2</v>
      </c>
      <c r="C172" s="10">
        <f t="shared" ca="1" si="13"/>
        <v>0.45182354196366725</v>
      </c>
      <c r="D172" s="9">
        <f t="shared" ca="1" si="14"/>
        <v>0.80802997460122494</v>
      </c>
      <c r="E172" s="10">
        <f t="shared" ca="1" si="15"/>
        <v>8.5223410747856789</v>
      </c>
      <c r="F172" s="9">
        <f t="shared" ca="1" si="16"/>
        <v>0.54306524315447313</v>
      </c>
      <c r="G172" s="10">
        <f t="shared" ca="1" si="17"/>
        <v>3.5427222918200045</v>
      </c>
    </row>
    <row r="173" spans="1:7">
      <c r="A173" s="8">
        <v>168</v>
      </c>
      <c r="B173" s="13">
        <f t="shared" ca="1" si="12"/>
        <v>0.28150268076035623</v>
      </c>
      <c r="C173" s="14">
        <f t="shared" ca="1" si="13"/>
        <v>4.9588995678197083</v>
      </c>
      <c r="D173" s="13">
        <f t="shared" ca="1" si="14"/>
        <v>0.64544667876750006</v>
      </c>
      <c r="E173" s="14">
        <f t="shared" ca="1" si="15"/>
        <v>7.2738113412975682</v>
      </c>
      <c r="F173" s="13">
        <f t="shared" ca="1" si="16"/>
        <v>0.59582956956572075</v>
      </c>
      <c r="G173" s="10">
        <f t="shared" ca="1" si="17"/>
        <v>3.8402604507250562</v>
      </c>
    </row>
    <row r="174" spans="1:7">
      <c r="A174" s="8">
        <v>169</v>
      </c>
      <c r="B174" s="9">
        <f t="shared" ca="1" si="12"/>
        <v>0.27523482305848301</v>
      </c>
      <c r="C174" s="10">
        <f t="shared" ca="1" si="13"/>
        <v>4.8286135569927255</v>
      </c>
      <c r="D174" s="9">
        <f t="shared" ca="1" si="14"/>
        <v>0.55108339973261899</v>
      </c>
      <c r="E174" s="10">
        <f t="shared" ca="1" si="15"/>
        <v>6.6819415369098278</v>
      </c>
      <c r="F174" s="9">
        <f t="shared" ca="1" si="16"/>
        <v>0.77445954887154289</v>
      </c>
      <c r="G174" s="10">
        <f t="shared" ca="1" si="17"/>
        <v>5.2182835862398012</v>
      </c>
    </row>
    <row r="175" spans="1:7">
      <c r="A175" s="8">
        <v>170</v>
      </c>
      <c r="B175" s="13">
        <f t="shared" ca="1" si="12"/>
        <v>0.95625877055272501</v>
      </c>
      <c r="C175" s="14">
        <f t="shared" ca="1" si="13"/>
        <v>46.94196234077755</v>
      </c>
      <c r="D175" s="13">
        <f t="shared" ca="1" si="14"/>
        <v>0.82140982623967163</v>
      </c>
      <c r="E175" s="14">
        <f t="shared" ca="1" si="15"/>
        <v>8.6457219932002225</v>
      </c>
      <c r="F175" s="13">
        <f t="shared" ca="1" si="16"/>
        <v>0.39387815301218587</v>
      </c>
      <c r="G175" s="10">
        <f t="shared" ca="1" si="17"/>
        <v>2.8248769755671637</v>
      </c>
    </row>
    <row r="176" spans="1:7">
      <c r="A176" s="8">
        <v>171</v>
      </c>
      <c r="B176" s="9">
        <f t="shared" ca="1" si="12"/>
        <v>0.49041490839847601</v>
      </c>
      <c r="C176" s="10">
        <f t="shared" ca="1" si="13"/>
        <v>10.112376453767588</v>
      </c>
      <c r="D176" s="9">
        <f t="shared" ca="1" si="14"/>
        <v>0.73124469125230429</v>
      </c>
      <c r="E176" s="10">
        <f t="shared" ca="1" si="15"/>
        <v>7.8851993424826974</v>
      </c>
      <c r="F176" s="9">
        <f t="shared" ca="1" si="16"/>
        <v>0.23872826112010515</v>
      </c>
      <c r="G176" s="10">
        <f t="shared" ca="1" si="17"/>
        <v>2.1679030983024665</v>
      </c>
    </row>
    <row r="177" spans="1:7">
      <c r="A177" s="8">
        <v>172</v>
      </c>
      <c r="B177" s="13">
        <f t="shared" ca="1" si="12"/>
        <v>0.83998678677717131</v>
      </c>
      <c r="C177" s="14">
        <f t="shared" ca="1" si="13"/>
        <v>27.487483267730845</v>
      </c>
      <c r="D177" s="13">
        <f t="shared" ca="1" si="14"/>
        <v>0.72218528388929037</v>
      </c>
      <c r="E177" s="14">
        <f t="shared" ca="1" si="15"/>
        <v>7.8164217331362496</v>
      </c>
      <c r="F177" s="13">
        <f t="shared" ca="1" si="16"/>
        <v>0.3151341809058873</v>
      </c>
      <c r="G177" s="10">
        <f t="shared" ca="1" si="17"/>
        <v>2.4872818872668261</v>
      </c>
    </row>
    <row r="178" spans="1:7">
      <c r="A178" s="8">
        <v>173</v>
      </c>
      <c r="B178" s="9">
        <f t="shared" ca="1" si="12"/>
        <v>0.29265371125700157</v>
      </c>
      <c r="C178" s="10">
        <f t="shared" ca="1" si="13"/>
        <v>5.1935239919440273</v>
      </c>
      <c r="D178" s="9">
        <f t="shared" ca="1" si="14"/>
        <v>0.88912462486055177</v>
      </c>
      <c r="E178" s="10">
        <f t="shared" ca="1" si="15"/>
        <v>9.3570568235799634</v>
      </c>
      <c r="F178" s="9">
        <f t="shared" ca="1" si="16"/>
        <v>0.10178078223643461</v>
      </c>
      <c r="G178" s="10">
        <f t="shared" ca="1" si="17"/>
        <v>1.5482389438199411</v>
      </c>
    </row>
    <row r="179" spans="1:7">
      <c r="A179" s="8">
        <v>174</v>
      </c>
      <c r="B179" s="13">
        <f t="shared" ca="1" si="12"/>
        <v>0.78789335824639339</v>
      </c>
      <c r="C179" s="14">
        <f t="shared" ca="1" si="13"/>
        <v>23.259991554693155</v>
      </c>
      <c r="D179" s="13">
        <f t="shared" ca="1" si="14"/>
        <v>0.81822465140480161</v>
      </c>
      <c r="E179" s="14">
        <f t="shared" ca="1" si="15"/>
        <v>8.6159422343143284</v>
      </c>
      <c r="F179" s="13">
        <f t="shared" ca="1" si="16"/>
        <v>0.77861066865990802</v>
      </c>
      <c r="G179" s="10">
        <f t="shared" ca="1" si="17"/>
        <v>5.2619710676253035</v>
      </c>
    </row>
    <row r="180" spans="1:7">
      <c r="A180" s="8">
        <v>175</v>
      </c>
      <c r="B180" s="9">
        <f t="shared" ca="1" si="12"/>
        <v>0.6431839041165246</v>
      </c>
      <c r="C180" s="10">
        <f t="shared" ca="1" si="13"/>
        <v>15.458021512691214</v>
      </c>
      <c r="D180" s="9">
        <f t="shared" ca="1" si="14"/>
        <v>0.6807863669334584</v>
      </c>
      <c r="E180" s="10">
        <f t="shared" ca="1" si="15"/>
        <v>7.5155313711441663</v>
      </c>
      <c r="F180" s="9">
        <f t="shared" ca="1" si="16"/>
        <v>0.16648202686403513</v>
      </c>
      <c r="G180" s="10">
        <f t="shared" ca="1" si="17"/>
        <v>1.8572622630471936</v>
      </c>
    </row>
    <row r="181" spans="1:7">
      <c r="A181" s="8">
        <v>176</v>
      </c>
      <c r="B181" s="13">
        <f t="shared" ca="1" si="12"/>
        <v>0.52612175750230594</v>
      </c>
      <c r="C181" s="14">
        <f t="shared" ca="1" si="13"/>
        <v>11.202072939782283</v>
      </c>
      <c r="D181" s="13">
        <f t="shared" ca="1" si="14"/>
        <v>0.65112033565821059</v>
      </c>
      <c r="E181" s="14">
        <f t="shared" ca="1" si="15"/>
        <v>7.3117787111173245</v>
      </c>
      <c r="F181" s="13">
        <f t="shared" ca="1" si="16"/>
        <v>0.56352949723956602</v>
      </c>
      <c r="G181" s="10">
        <f t="shared" ca="1" si="17"/>
        <v>3.6544819728186799</v>
      </c>
    </row>
    <row r="182" spans="1:7">
      <c r="A182" s="8">
        <v>177</v>
      </c>
      <c r="B182" s="9">
        <f t="shared" ca="1" si="12"/>
        <v>0.86858209481714443</v>
      </c>
      <c r="C182" s="10">
        <f t="shared" ca="1" si="13"/>
        <v>30.440593762576679</v>
      </c>
      <c r="D182" s="9">
        <f t="shared" ca="1" si="14"/>
        <v>0.24042265713415945</v>
      </c>
      <c r="E182" s="10">
        <f t="shared" ca="1" si="15"/>
        <v>5.0823867844069257</v>
      </c>
      <c r="F182" s="9">
        <f t="shared" ca="1" si="16"/>
        <v>2.9429890459103714E-2</v>
      </c>
      <c r="G182" s="10">
        <f t="shared" ca="1" si="17"/>
        <v>1.0687144363613597</v>
      </c>
    </row>
    <row r="183" spans="1:7">
      <c r="A183" s="8">
        <v>178</v>
      </c>
      <c r="B183" s="13">
        <f t="shared" ca="1" si="12"/>
        <v>0.44109727808533405</v>
      </c>
      <c r="C183" s="14">
        <f t="shared" ca="1" si="13"/>
        <v>8.7266976388517534</v>
      </c>
      <c r="D183" s="13">
        <f t="shared" ca="1" si="14"/>
        <v>0.80365873719721714</v>
      </c>
      <c r="E183" s="14">
        <f t="shared" ca="1" si="15"/>
        <v>8.4829700660109069</v>
      </c>
      <c r="F183" s="13">
        <f t="shared" ca="1" si="16"/>
        <v>0.49726462680672279</v>
      </c>
      <c r="G183" s="10">
        <f t="shared" ca="1" si="17"/>
        <v>3.3064861172250914</v>
      </c>
    </row>
    <row r="184" spans="1:7">
      <c r="A184" s="8">
        <v>179</v>
      </c>
      <c r="B184" s="9">
        <f t="shared" ca="1" si="12"/>
        <v>0.35906410602130967</v>
      </c>
      <c r="C184" s="10">
        <f t="shared" ca="1" si="13"/>
        <v>6.6723875468453802</v>
      </c>
      <c r="D184" s="9">
        <f t="shared" ca="1" si="14"/>
        <v>0.94933458232449586</v>
      </c>
      <c r="E184" s="10">
        <f t="shared" ca="1" si="15"/>
        <v>10.213405106478595</v>
      </c>
      <c r="F184" s="9">
        <f t="shared" ca="1" si="16"/>
        <v>0.54041858186162406</v>
      </c>
      <c r="G184" s="10">
        <f t="shared" ca="1" si="17"/>
        <v>3.5285710471423584</v>
      </c>
    </row>
    <row r="185" spans="1:7">
      <c r="A185" s="8">
        <v>180</v>
      </c>
      <c r="B185" s="13">
        <f t="shared" ca="1" si="12"/>
        <v>0.44890787687612721</v>
      </c>
      <c r="C185" s="14">
        <f t="shared" ca="1" si="13"/>
        <v>8.9377993680305714</v>
      </c>
      <c r="D185" s="13">
        <f t="shared" ca="1" si="14"/>
        <v>0.45344136490665554</v>
      </c>
      <c r="E185" s="14">
        <f t="shared" ca="1" si="15"/>
        <v>6.1320195969242794</v>
      </c>
      <c r="F185" s="13">
        <f t="shared" ca="1" si="16"/>
        <v>7.3038760543472581E-2</v>
      </c>
      <c r="G185" s="10">
        <f t="shared" ca="1" si="17"/>
        <v>1.3880277711817093</v>
      </c>
    </row>
    <row r="186" spans="1:7">
      <c r="A186" s="8">
        <v>181</v>
      </c>
      <c r="B186" s="9">
        <f t="shared" ca="1" si="12"/>
        <v>0.41690099299093675</v>
      </c>
      <c r="C186" s="10">
        <f t="shared" ca="1" si="13"/>
        <v>8.0909742556025197</v>
      </c>
      <c r="D186" s="9">
        <f t="shared" ca="1" si="14"/>
        <v>0.79092366928051927</v>
      </c>
      <c r="E186" s="10">
        <f t="shared" ca="1" si="15"/>
        <v>8.370701330101463</v>
      </c>
      <c r="F186" s="9">
        <f t="shared" ca="1" si="16"/>
        <v>0.37092621831578498</v>
      </c>
      <c r="G186" s="10">
        <f t="shared" ca="1" si="17"/>
        <v>2.724702535146041</v>
      </c>
    </row>
    <row r="187" spans="1:7">
      <c r="A187" s="8">
        <v>182</v>
      </c>
      <c r="B187" s="13">
        <f t="shared" ca="1" si="12"/>
        <v>0.22722853652887931</v>
      </c>
      <c r="C187" s="14">
        <f t="shared" ca="1" si="13"/>
        <v>3.8665788437373303</v>
      </c>
      <c r="D187" s="13">
        <f t="shared" ca="1" si="14"/>
        <v>0.26179310627001828</v>
      </c>
      <c r="E187" s="14">
        <f t="shared" ca="1" si="15"/>
        <v>5.1803933907454125</v>
      </c>
      <c r="F187" s="13">
        <f t="shared" ca="1" si="16"/>
        <v>0.64163459958425206</v>
      </c>
      <c r="G187" s="10">
        <f t="shared" ca="1" si="17"/>
        <v>4.1276113200455704</v>
      </c>
    </row>
    <row r="188" spans="1:7">
      <c r="A188" s="8">
        <v>183</v>
      </c>
      <c r="B188" s="9">
        <f t="shared" ca="1" si="12"/>
        <v>0.43863721396611388</v>
      </c>
      <c r="C188" s="10">
        <f t="shared" ca="1" si="13"/>
        <v>8.6608185756439013</v>
      </c>
      <c r="D188" s="9">
        <f t="shared" ca="1" si="14"/>
        <v>9.1968173067745518E-2</v>
      </c>
      <c r="E188" s="10">
        <f t="shared" ca="1" si="15"/>
        <v>4.2866340253620763</v>
      </c>
      <c r="F188" s="9">
        <f t="shared" ca="1" si="16"/>
        <v>0.43773243945628237</v>
      </c>
      <c r="G188" s="10">
        <f t="shared" ca="1" si="17"/>
        <v>3.022147008625474</v>
      </c>
    </row>
    <row r="189" spans="1:7">
      <c r="A189" s="8">
        <v>184</v>
      </c>
      <c r="B189" s="13">
        <f t="shared" ca="1" si="12"/>
        <v>0.21128408944045785</v>
      </c>
      <c r="C189" s="14">
        <f t="shared" ca="1" si="13"/>
        <v>3.5602362845484712</v>
      </c>
      <c r="D189" s="13">
        <f t="shared" ca="1" si="14"/>
        <v>0.2246619081561616</v>
      </c>
      <c r="E189" s="14">
        <f t="shared" ca="1" si="15"/>
        <v>5.0109872094721544</v>
      </c>
      <c r="F189" s="13">
        <f t="shared" ca="1" si="16"/>
        <v>0.9247668507435538</v>
      </c>
      <c r="G189" s="10">
        <f t="shared" ca="1" si="17"/>
        <v>7.8674328918246275</v>
      </c>
    </row>
    <row r="190" spans="1:7">
      <c r="A190" s="8">
        <v>185</v>
      </c>
      <c r="B190" s="9">
        <f t="shared" ca="1" si="12"/>
        <v>0.46078884925762176</v>
      </c>
      <c r="C190" s="10">
        <f t="shared" ca="1" si="13"/>
        <v>9.2647205915651156</v>
      </c>
      <c r="D190" s="9">
        <f t="shared" ca="1" si="14"/>
        <v>0.67198400276637926</v>
      </c>
      <c r="E190" s="10">
        <f t="shared" ca="1" si="15"/>
        <v>7.4541218861788536</v>
      </c>
      <c r="F190" s="9">
        <f t="shared" ca="1" si="16"/>
        <v>0.4838726918216254</v>
      </c>
      <c r="G190" s="10">
        <f t="shared" ca="1" si="17"/>
        <v>3.2405345149828841</v>
      </c>
    </row>
    <row r="191" spans="1:7">
      <c r="A191" s="8">
        <v>186</v>
      </c>
      <c r="B191" s="13">
        <f t="shared" ca="1" si="12"/>
        <v>0.78165946212604887</v>
      </c>
      <c r="C191" s="14">
        <f t="shared" ca="1" si="13"/>
        <v>22.825490019951811</v>
      </c>
      <c r="D191" s="13">
        <f t="shared" ca="1" si="14"/>
        <v>0.35164025082483474</v>
      </c>
      <c r="E191" s="14">
        <f t="shared" ca="1" si="15"/>
        <v>5.6088604929922381</v>
      </c>
      <c r="F191" s="13">
        <f t="shared" ca="1" si="16"/>
        <v>0.77759183170349822</v>
      </c>
      <c r="G191" s="10">
        <f t="shared" ca="1" si="17"/>
        <v>5.2511718211335729</v>
      </c>
    </row>
    <row r="192" spans="1:7">
      <c r="A192" s="8">
        <v>187</v>
      </c>
      <c r="B192" s="9">
        <f t="shared" ca="1" si="12"/>
        <v>0.92388563747957408</v>
      </c>
      <c r="C192" s="10">
        <f t="shared" ca="1" si="13"/>
        <v>38.632774495831505</v>
      </c>
      <c r="D192" s="9">
        <f t="shared" ca="1" si="14"/>
        <v>0.41918956988882927</v>
      </c>
      <c r="E192" s="10">
        <f t="shared" ca="1" si="15"/>
        <v>5.9509457683862879</v>
      </c>
      <c r="F192" s="9">
        <f t="shared" ca="1" si="16"/>
        <v>0.99415577481246109</v>
      </c>
      <c r="G192" s="10">
        <f t="shared" ca="1" si="17"/>
        <v>15.072138830602098</v>
      </c>
    </row>
    <row r="193" spans="1:7">
      <c r="A193" s="8">
        <v>188</v>
      </c>
      <c r="B193" s="13">
        <f t="shared" ca="1" si="12"/>
        <v>0.99738677244888685</v>
      </c>
      <c r="C193" s="14">
        <f t="shared" ca="1" si="13"/>
        <v>89.207538179963365</v>
      </c>
      <c r="D193" s="13">
        <f t="shared" ca="1" si="14"/>
        <v>0.73505319000670921</v>
      </c>
      <c r="E193" s="14">
        <f t="shared" ca="1" si="15"/>
        <v>7.9144585389966586</v>
      </c>
      <c r="F193" s="13">
        <f t="shared" ca="1" si="16"/>
        <v>0.89309721628666749</v>
      </c>
      <c r="G193" s="10">
        <f t="shared" ca="1" si="17"/>
        <v>6.999938713113381</v>
      </c>
    </row>
    <row r="194" spans="1:7">
      <c r="A194" s="8">
        <v>189</v>
      </c>
      <c r="B194" s="9">
        <f t="shared" ca="1" si="12"/>
        <v>0.84538624471417223</v>
      </c>
      <c r="C194" s="10">
        <f t="shared" ca="1" si="13"/>
        <v>28.002377600976519</v>
      </c>
      <c r="D194" s="9">
        <f t="shared" ca="1" si="14"/>
        <v>0.51243930969386653</v>
      </c>
      <c r="E194" s="10">
        <f t="shared" ca="1" si="15"/>
        <v>6.4577690873361826</v>
      </c>
      <c r="F194" s="9">
        <f t="shared" ca="1" si="16"/>
        <v>0.70813261263772065</v>
      </c>
      <c r="G194" s="10">
        <f t="shared" ca="1" si="17"/>
        <v>4.6124655401953971</v>
      </c>
    </row>
    <row r="195" spans="1:7">
      <c r="A195" s="8">
        <v>190</v>
      </c>
      <c r="B195" s="13">
        <f t="shared" ca="1" si="12"/>
        <v>0.61655358887175449</v>
      </c>
      <c r="C195" s="14">
        <f t="shared" ca="1" si="13"/>
        <v>14.378331063610347</v>
      </c>
      <c r="D195" s="13">
        <f t="shared" ca="1" si="14"/>
        <v>9.9826817681195945E-2</v>
      </c>
      <c r="E195" s="14">
        <f t="shared" ca="1" si="15"/>
        <v>4.3404785407687534</v>
      </c>
      <c r="F195" s="13">
        <f t="shared" ca="1" si="16"/>
        <v>0.21303091213699465</v>
      </c>
      <c r="G195" s="10">
        <f t="shared" ca="1" si="17"/>
        <v>2.0594330983310831</v>
      </c>
    </row>
    <row r="196" spans="1:7">
      <c r="A196" s="8">
        <v>191</v>
      </c>
      <c r="B196" s="9">
        <f t="shared" ca="1" si="12"/>
        <v>0.12404233538342591</v>
      </c>
      <c r="C196" s="10">
        <f t="shared" ca="1" si="13"/>
        <v>1.9865627591528352</v>
      </c>
      <c r="D196" s="9">
        <f t="shared" ca="1" si="14"/>
        <v>0.18951136078830977</v>
      </c>
      <c r="E196" s="10">
        <f t="shared" ca="1" si="15"/>
        <v>4.846944637554027</v>
      </c>
      <c r="F196" s="9">
        <f t="shared" ca="1" si="16"/>
        <v>0.98627888457420532</v>
      </c>
      <c r="G196" s="10">
        <f t="shared" ca="1" si="17"/>
        <v>12.467203273418416</v>
      </c>
    </row>
    <row r="197" spans="1:7">
      <c r="A197" s="8">
        <v>192</v>
      </c>
      <c r="B197" s="13">
        <f t="shared" ca="1" si="12"/>
        <v>0.99893002032942702</v>
      </c>
      <c r="C197" s="14">
        <f t="shared" ca="1" si="13"/>
        <v>102.60173445229971</v>
      </c>
      <c r="D197" s="13">
        <f t="shared" ca="1" si="14"/>
        <v>0.66423162673717939</v>
      </c>
      <c r="E197" s="14">
        <f t="shared" ca="1" si="15"/>
        <v>7.4007166302175191</v>
      </c>
      <c r="F197" s="13">
        <f t="shared" ca="1" si="16"/>
        <v>0.9890174259857174</v>
      </c>
      <c r="G197" s="10">
        <f t="shared" ca="1" si="17"/>
        <v>13.125829522959739</v>
      </c>
    </row>
    <row r="198" spans="1:7">
      <c r="A198" s="8">
        <v>193</v>
      </c>
      <c r="B198" s="9">
        <f t="shared" ref="B198:B261" ca="1" si="18">RAND()</f>
        <v>0.61498463425488237</v>
      </c>
      <c r="C198" s="10">
        <f t="shared" ref="C198:C261" ca="1" si="19">-$J$6 * LN(1 - B198)</f>
        <v>14.317080516967456</v>
      </c>
      <c r="D198" s="9">
        <f t="shared" ref="D198:D261" ca="1" si="20">RAND()</f>
        <v>0.32606061071491521</v>
      </c>
      <c r="E198" s="10">
        <f t="shared" ref="E198:E261" ca="1" si="21">IF(D198&lt;=$N$9, $N$6+SQRT(D198*($N$8-$N$6)*($N$7-$N$6)), $N$8-SQRT((1-D198)*($N$8-$N$6)*($N$8-$N$7)))</f>
        <v>5.484005714784554</v>
      </c>
      <c r="F198" s="9">
        <f t="shared" ref="F198:F261" ca="1" si="22">RAND()</f>
        <v>0.35567555775640602</v>
      </c>
      <c r="G198" s="10">
        <f t="shared" ca="1" si="17"/>
        <v>2.6590654719137392</v>
      </c>
    </row>
    <row r="199" spans="1:7">
      <c r="A199" s="8">
        <v>194</v>
      </c>
      <c r="B199" s="13">
        <f t="shared" ca="1" si="18"/>
        <v>0.5430998306863607</v>
      </c>
      <c r="C199" s="14">
        <f t="shared" ca="1" si="19"/>
        <v>11.749355397637926</v>
      </c>
      <c r="D199" s="13">
        <f t="shared" ca="1" si="20"/>
        <v>0.80530009535489622</v>
      </c>
      <c r="E199" s="14">
        <f t="shared" ca="1" si="21"/>
        <v>8.4977016128488518</v>
      </c>
      <c r="F199" s="13">
        <f t="shared" ca="1" si="22"/>
        <v>0.89630178392770776</v>
      </c>
      <c r="G199" s="10">
        <f t="shared" ref="G199:G262" ca="1" si="23">_xlfn.LOGNORM.INV(F199, $R$6, $R$7)</f>
        <v>7.0741985927339179</v>
      </c>
    </row>
    <row r="200" spans="1:7">
      <c r="A200" s="8">
        <v>195</v>
      </c>
      <c r="B200" s="9">
        <f t="shared" ca="1" si="18"/>
        <v>8.1456983027810237E-2</v>
      </c>
      <c r="C200" s="10">
        <f t="shared" ca="1" si="19"/>
        <v>1.2744981222822367</v>
      </c>
      <c r="D200" s="9">
        <f t="shared" ca="1" si="20"/>
        <v>0.3546638962367854</v>
      </c>
      <c r="E200" s="10">
        <f t="shared" ca="1" si="21"/>
        <v>5.6237805450970777</v>
      </c>
      <c r="F200" s="9">
        <f t="shared" ca="1" si="22"/>
        <v>0.10406141921851364</v>
      </c>
      <c r="G200" s="10">
        <f t="shared" ca="1" si="23"/>
        <v>1.5601058038042117</v>
      </c>
    </row>
    <row r="201" spans="1:7">
      <c r="A201" s="8">
        <v>196</v>
      </c>
      <c r="B201" s="13">
        <f t="shared" ca="1" si="18"/>
        <v>0.15733388545605675</v>
      </c>
      <c r="C201" s="14">
        <f t="shared" ca="1" si="19"/>
        <v>2.5677670138896223</v>
      </c>
      <c r="D201" s="13">
        <f t="shared" ca="1" si="20"/>
        <v>0.77408451132638512</v>
      </c>
      <c r="E201" s="14">
        <f t="shared" ca="1" si="21"/>
        <v>8.2273781283518836</v>
      </c>
      <c r="F201" s="13">
        <f t="shared" ca="1" si="22"/>
        <v>0.23270354530625992</v>
      </c>
      <c r="G201" s="10">
        <f t="shared" ca="1" si="23"/>
        <v>2.1425926074266535</v>
      </c>
    </row>
    <row r="202" spans="1:7">
      <c r="A202" s="8">
        <v>197</v>
      </c>
      <c r="B202" s="9">
        <f t="shared" ca="1" si="18"/>
        <v>0.47631514418506782</v>
      </c>
      <c r="C202" s="10">
        <f t="shared" ca="1" si="19"/>
        <v>9.7029779368091997</v>
      </c>
      <c r="D202" s="9">
        <f t="shared" ca="1" si="20"/>
        <v>0.7762245562503296</v>
      </c>
      <c r="E202" s="10">
        <f t="shared" ca="1" si="21"/>
        <v>8.2452892313482735</v>
      </c>
      <c r="F202" s="9">
        <f t="shared" ca="1" si="22"/>
        <v>0.22086460878680614</v>
      </c>
      <c r="G202" s="10">
        <f t="shared" ca="1" si="23"/>
        <v>2.0926561266720713</v>
      </c>
    </row>
    <row r="203" spans="1:7">
      <c r="A203" s="8">
        <v>198</v>
      </c>
      <c r="B203" s="13">
        <f t="shared" ca="1" si="18"/>
        <v>0.48704491605976064</v>
      </c>
      <c r="C203" s="14">
        <f t="shared" ca="1" si="19"/>
        <v>10.013504899749558</v>
      </c>
      <c r="D203" s="13">
        <f t="shared" ca="1" si="20"/>
        <v>0.8049984752857845</v>
      </c>
      <c r="E203" s="14">
        <f t="shared" ca="1" si="21"/>
        <v>8.4949898634960306</v>
      </c>
      <c r="F203" s="13">
        <f t="shared" ca="1" si="22"/>
        <v>0.84999481693899648</v>
      </c>
      <c r="G203" s="10">
        <f t="shared" ca="1" si="23"/>
        <v>6.1832665265822193</v>
      </c>
    </row>
    <row r="204" spans="1:7">
      <c r="A204" s="8">
        <v>199</v>
      </c>
      <c r="B204" s="9">
        <f t="shared" ca="1" si="18"/>
        <v>0.32779320699220049</v>
      </c>
      <c r="C204" s="10">
        <f t="shared" ca="1" si="19"/>
        <v>5.9578388716089599</v>
      </c>
      <c r="D204" s="9">
        <f t="shared" ca="1" si="20"/>
        <v>0.9969139105994328</v>
      </c>
      <c r="E204" s="10">
        <f t="shared" ca="1" si="21"/>
        <v>11.559065047613899</v>
      </c>
      <c r="F204" s="9">
        <f t="shared" ca="1" si="22"/>
        <v>0.13787141364122124</v>
      </c>
      <c r="G204" s="10">
        <f t="shared" ca="1" si="23"/>
        <v>1.7264036496553321</v>
      </c>
    </row>
    <row r="205" spans="1:7">
      <c r="A205" s="8">
        <v>200</v>
      </c>
      <c r="B205" s="13">
        <f t="shared" ca="1" si="18"/>
        <v>0.13738135250370287</v>
      </c>
      <c r="C205" s="14">
        <f t="shared" ca="1" si="19"/>
        <v>2.216738658343536</v>
      </c>
      <c r="D205" s="13">
        <f t="shared" ca="1" si="20"/>
        <v>0.85334995208751052</v>
      </c>
      <c r="E205" s="14">
        <f t="shared" ca="1" si="21"/>
        <v>8.9604353899798674</v>
      </c>
      <c r="F205" s="13">
        <f t="shared" ca="1" si="22"/>
        <v>0.52646133408298634</v>
      </c>
      <c r="G205" s="10">
        <f t="shared" ca="1" si="23"/>
        <v>3.4550138409076459</v>
      </c>
    </row>
    <row r="206" spans="1:7">
      <c r="A206" s="8">
        <v>201</v>
      </c>
      <c r="B206" s="9">
        <f t="shared" ca="1" si="18"/>
        <v>0.86367370042135028</v>
      </c>
      <c r="C206" s="10">
        <f t="shared" ca="1" si="19"/>
        <v>29.890560079065267</v>
      </c>
      <c r="D206" s="9">
        <f t="shared" ca="1" si="20"/>
        <v>0.97307780052424908</v>
      </c>
      <c r="E206" s="10">
        <f t="shared" ca="1" si="21"/>
        <v>10.697656509605739</v>
      </c>
      <c r="F206" s="9">
        <f t="shared" ca="1" si="22"/>
        <v>0.46868724300403419</v>
      </c>
      <c r="G206" s="10">
        <f t="shared" ca="1" si="23"/>
        <v>3.1672315431818192</v>
      </c>
    </row>
    <row r="207" spans="1:7">
      <c r="A207" s="8">
        <v>202</v>
      </c>
      <c r="B207" s="13">
        <f t="shared" ca="1" si="18"/>
        <v>0.7049184242658264</v>
      </c>
      <c r="C207" s="14">
        <f t="shared" ca="1" si="19"/>
        <v>18.307551494349905</v>
      </c>
      <c r="D207" s="13">
        <f t="shared" ca="1" si="20"/>
        <v>0.23060013263004542</v>
      </c>
      <c r="E207" s="14">
        <f t="shared" ca="1" si="21"/>
        <v>5.0378026712605211</v>
      </c>
      <c r="F207" s="13">
        <f t="shared" ca="1" si="22"/>
        <v>0.32203533277244767</v>
      </c>
      <c r="G207" s="10">
        <f t="shared" ca="1" si="23"/>
        <v>2.5163038162202871</v>
      </c>
    </row>
    <row r="208" spans="1:7">
      <c r="A208" s="8">
        <v>203</v>
      </c>
      <c r="B208" s="9">
        <f t="shared" ca="1" si="18"/>
        <v>7.9610327179301388E-2</v>
      </c>
      <c r="C208" s="10">
        <f t="shared" ca="1" si="19"/>
        <v>1.244372118005532</v>
      </c>
      <c r="D208" s="9">
        <f t="shared" ca="1" si="20"/>
        <v>0.6065133891074993</v>
      </c>
      <c r="E208" s="10">
        <f t="shared" ca="1" si="21"/>
        <v>7.0210787828860415</v>
      </c>
      <c r="F208" s="9">
        <f t="shared" ca="1" si="22"/>
        <v>0.3724797094043093</v>
      </c>
      <c r="G208" s="10">
        <f t="shared" ca="1" si="23"/>
        <v>2.731427241891129</v>
      </c>
    </row>
    <row r="209" spans="1:7">
      <c r="A209" s="8">
        <v>204</v>
      </c>
      <c r="B209" s="13">
        <f t="shared" ca="1" si="18"/>
        <v>5.6017831892190673E-2</v>
      </c>
      <c r="C209" s="14">
        <f t="shared" ca="1" si="19"/>
        <v>0.86472004097029476</v>
      </c>
      <c r="D209" s="13">
        <f t="shared" ca="1" si="20"/>
        <v>0.1833883999154583</v>
      </c>
      <c r="E209" s="14">
        <f t="shared" ca="1" si="21"/>
        <v>4.8168630103775705</v>
      </c>
      <c r="F209" s="13">
        <f t="shared" ca="1" si="22"/>
        <v>0.44438993509876146</v>
      </c>
      <c r="G209" s="10">
        <f t="shared" ca="1" si="23"/>
        <v>3.0528971806982916</v>
      </c>
    </row>
    <row r="210" spans="1:7">
      <c r="A210" s="8">
        <v>205</v>
      </c>
      <c r="B210" s="9">
        <f t="shared" ca="1" si="18"/>
        <v>9.4231686930979719E-2</v>
      </c>
      <c r="C210" s="10">
        <f t="shared" ca="1" si="19"/>
        <v>1.4845759609766318</v>
      </c>
      <c r="D210" s="9">
        <f t="shared" ca="1" si="20"/>
        <v>0.2710010665882896</v>
      </c>
      <c r="E210" s="10">
        <f t="shared" ca="1" si="21"/>
        <v>5.2230587426968382</v>
      </c>
      <c r="F210" s="9">
        <f t="shared" ca="1" si="22"/>
        <v>0.26270595596628565</v>
      </c>
      <c r="G210" s="10">
        <f t="shared" ca="1" si="23"/>
        <v>2.2681960357984545</v>
      </c>
    </row>
    <row r="211" spans="1:7">
      <c r="A211" s="8">
        <v>206</v>
      </c>
      <c r="B211" s="13">
        <f t="shared" ca="1" si="18"/>
        <v>0.69342650601163525</v>
      </c>
      <c r="C211" s="14">
        <f t="shared" ca="1" si="19"/>
        <v>17.73446651582989</v>
      </c>
      <c r="D211" s="13">
        <f t="shared" ca="1" si="20"/>
        <v>0.55821771276231746</v>
      </c>
      <c r="E211" s="14">
        <f t="shared" ca="1" si="21"/>
        <v>6.7243688438278779</v>
      </c>
      <c r="F211" s="13">
        <f t="shared" ca="1" si="22"/>
        <v>0.22184575573841281</v>
      </c>
      <c r="G211" s="10">
        <f t="shared" ca="1" si="23"/>
        <v>2.0968062139760018</v>
      </c>
    </row>
    <row r="212" spans="1:7">
      <c r="A212" s="8">
        <v>207</v>
      </c>
      <c r="B212" s="9">
        <f t="shared" ca="1" si="18"/>
        <v>0.88517581323354488</v>
      </c>
      <c r="C212" s="10">
        <f t="shared" ca="1" si="19"/>
        <v>32.465296967533909</v>
      </c>
      <c r="D212" s="9">
        <f t="shared" ca="1" si="20"/>
        <v>0.27432276343650563</v>
      </c>
      <c r="E212" s="10">
        <f t="shared" ca="1" si="21"/>
        <v>5.2385159984290324</v>
      </c>
      <c r="F212" s="9">
        <f t="shared" ca="1" si="22"/>
        <v>0.27815993659366156</v>
      </c>
      <c r="G212" s="10">
        <f t="shared" ca="1" si="23"/>
        <v>2.332661990393623</v>
      </c>
    </row>
    <row r="213" spans="1:7">
      <c r="A213" s="8">
        <v>208</v>
      </c>
      <c r="B213" s="13">
        <f t="shared" ca="1" si="18"/>
        <v>0.54877229695597474</v>
      </c>
      <c r="C213" s="14">
        <f t="shared" ca="1" si="19"/>
        <v>11.936747731389341</v>
      </c>
      <c r="D213" s="13">
        <f t="shared" ca="1" si="20"/>
        <v>0.15636901612994991</v>
      </c>
      <c r="E213" s="14">
        <f t="shared" ca="1" si="21"/>
        <v>4.6776895691215046</v>
      </c>
      <c r="F213" s="13">
        <f t="shared" ca="1" si="22"/>
        <v>0.10202685719994342</v>
      </c>
      <c r="G213" s="10">
        <f t="shared" ca="1" si="23"/>
        <v>1.5495242096802124</v>
      </c>
    </row>
    <row r="214" spans="1:7">
      <c r="A214" s="8">
        <v>209</v>
      </c>
      <c r="B214" s="9">
        <f t="shared" ca="1" si="18"/>
        <v>0.95687444359424001</v>
      </c>
      <c r="C214" s="10">
        <f t="shared" ca="1" si="19"/>
        <v>47.154592523269429</v>
      </c>
      <c r="D214" s="9">
        <f t="shared" ca="1" si="20"/>
        <v>0.71283353240379643</v>
      </c>
      <c r="E214" s="10">
        <f t="shared" ca="1" si="21"/>
        <v>7.7465910779045917</v>
      </c>
      <c r="F214" s="9">
        <f t="shared" ca="1" si="22"/>
        <v>0.18705424277113247</v>
      </c>
      <c r="G214" s="10">
        <f t="shared" ca="1" si="23"/>
        <v>1.9478333781086472</v>
      </c>
    </row>
    <row r="215" spans="1:7">
      <c r="A215" s="8">
        <v>210</v>
      </c>
      <c r="B215" s="13">
        <f t="shared" ca="1" si="18"/>
        <v>0.43421539168457224</v>
      </c>
      <c r="C215" s="14">
        <f t="shared" ca="1" si="19"/>
        <v>8.5431273582929368</v>
      </c>
      <c r="D215" s="13">
        <f t="shared" ca="1" si="20"/>
        <v>0.70461773994390309</v>
      </c>
      <c r="E215" s="14">
        <f t="shared" ca="1" si="21"/>
        <v>7.6861754343119024</v>
      </c>
      <c r="F215" s="13">
        <f t="shared" ca="1" si="22"/>
        <v>0.97352857235329981</v>
      </c>
      <c r="G215" s="10">
        <f t="shared" ca="1" si="23"/>
        <v>10.604008010521468</v>
      </c>
    </row>
    <row r="216" spans="1:7">
      <c r="A216" s="8">
        <v>211</v>
      </c>
      <c r="B216" s="9">
        <f t="shared" ca="1" si="18"/>
        <v>6.4896202381808599E-2</v>
      </c>
      <c r="C216" s="10">
        <f t="shared" ca="1" si="19"/>
        <v>1.0064661353940039</v>
      </c>
      <c r="D216" s="9">
        <f t="shared" ca="1" si="20"/>
        <v>0.35359044272465989</v>
      </c>
      <c r="E216" s="10">
        <f t="shared" ca="1" si="21"/>
        <v>5.6184796397452095</v>
      </c>
      <c r="F216" s="9">
        <f t="shared" ca="1" si="22"/>
        <v>0.82007457692210395</v>
      </c>
      <c r="G216" s="10">
        <f t="shared" ca="1" si="23"/>
        <v>5.7510911463047236</v>
      </c>
    </row>
    <row r="217" spans="1:7">
      <c r="A217" s="8">
        <v>212</v>
      </c>
      <c r="B217" s="13">
        <f t="shared" ca="1" si="18"/>
        <v>0.76117125043865252</v>
      </c>
      <c r="C217" s="14">
        <f t="shared" ca="1" si="19"/>
        <v>21.480127693683954</v>
      </c>
      <c r="D217" s="13">
        <f t="shared" ca="1" si="20"/>
        <v>0.11481122846086622</v>
      </c>
      <c r="E217" s="14">
        <f t="shared" ca="1" si="21"/>
        <v>4.4375681244016203</v>
      </c>
      <c r="F217" s="13">
        <f t="shared" ca="1" si="22"/>
        <v>0.93619775207079803</v>
      </c>
      <c r="G217" s="10">
        <f t="shared" ca="1" si="23"/>
        <v>8.2827082931597946</v>
      </c>
    </row>
    <row r="218" spans="1:7">
      <c r="A218" s="8">
        <v>213</v>
      </c>
      <c r="B218" s="9">
        <f t="shared" ca="1" si="18"/>
        <v>0.70024226615068141</v>
      </c>
      <c r="C218" s="10">
        <f t="shared" ca="1" si="19"/>
        <v>18.071710266131891</v>
      </c>
      <c r="D218" s="9">
        <f t="shared" ca="1" si="20"/>
        <v>0.45983763942513967</v>
      </c>
      <c r="E218" s="10">
        <f t="shared" ca="1" si="21"/>
        <v>6.1664565900118475</v>
      </c>
      <c r="F218" s="9">
        <f t="shared" ca="1" si="22"/>
        <v>0.47301398735404765</v>
      </c>
      <c r="G218" s="10">
        <f t="shared" ca="1" si="23"/>
        <v>3.1879646013151515</v>
      </c>
    </row>
    <row r="219" spans="1:7">
      <c r="A219" s="8">
        <v>214</v>
      </c>
      <c r="B219" s="13">
        <f t="shared" ca="1" si="18"/>
        <v>0.66181616980682434</v>
      </c>
      <c r="C219" s="14">
        <f t="shared" ca="1" si="19"/>
        <v>16.262484825525959</v>
      </c>
      <c r="D219" s="13">
        <f t="shared" ca="1" si="20"/>
        <v>0.63940823134876501</v>
      </c>
      <c r="E219" s="14">
        <f t="shared" ca="1" si="21"/>
        <v>7.2337350655856527</v>
      </c>
      <c r="F219" s="13">
        <f t="shared" ca="1" si="22"/>
        <v>0.25156961625287921</v>
      </c>
      <c r="G219" s="10">
        <f t="shared" ca="1" si="23"/>
        <v>2.2216826481689655</v>
      </c>
    </row>
    <row r="220" spans="1:7">
      <c r="A220" s="8">
        <v>215</v>
      </c>
      <c r="B220" s="9">
        <f t="shared" ca="1" si="18"/>
        <v>5.7248623917718344E-3</v>
      </c>
      <c r="C220" s="10">
        <f t="shared" ca="1" si="19"/>
        <v>8.6119683428282273E-2</v>
      </c>
      <c r="D220" s="9">
        <f t="shared" ca="1" si="20"/>
        <v>0.79139156243946229</v>
      </c>
      <c r="E220" s="10">
        <f t="shared" ca="1" si="21"/>
        <v>8.3747646191848624</v>
      </c>
      <c r="F220" s="9">
        <f t="shared" ca="1" si="22"/>
        <v>5.0232016643654287E-3</v>
      </c>
      <c r="G220" s="10">
        <f t="shared" ca="1" si="23"/>
        <v>0.70854846009295636</v>
      </c>
    </row>
    <row r="221" spans="1:7">
      <c r="A221" s="8">
        <v>216</v>
      </c>
      <c r="B221" s="13">
        <f t="shared" ca="1" si="18"/>
        <v>0.73157883953825176</v>
      </c>
      <c r="C221" s="14">
        <f t="shared" ca="1" si="19"/>
        <v>19.727970565740037</v>
      </c>
      <c r="D221" s="13">
        <f t="shared" ca="1" si="20"/>
        <v>0.66956233871828974</v>
      </c>
      <c r="E221" s="14">
        <f t="shared" ca="1" si="21"/>
        <v>7.4373721759552041</v>
      </c>
      <c r="F221" s="13">
        <f t="shared" ca="1" si="22"/>
        <v>0.64324557720473285</v>
      </c>
      <c r="G221" s="10">
        <f t="shared" ca="1" si="23"/>
        <v>4.1383146779315156</v>
      </c>
    </row>
    <row r="222" spans="1:7">
      <c r="A222" s="8">
        <v>217</v>
      </c>
      <c r="B222" s="9">
        <f t="shared" ca="1" si="18"/>
        <v>0.15532705959352511</v>
      </c>
      <c r="C222" s="10">
        <f t="shared" ca="1" si="19"/>
        <v>2.5320866898393617</v>
      </c>
      <c r="D222" s="9">
        <f t="shared" ca="1" si="20"/>
        <v>0.61646629261338415</v>
      </c>
      <c r="E222" s="10">
        <f t="shared" ca="1" si="21"/>
        <v>7.0844508378659459</v>
      </c>
      <c r="F222" s="9">
        <f t="shared" ca="1" si="22"/>
        <v>0.19855424183859549</v>
      </c>
      <c r="G222" s="10">
        <f t="shared" ca="1" si="23"/>
        <v>1.9975511762141598</v>
      </c>
    </row>
    <row r="223" spans="1:7">
      <c r="A223" s="8">
        <v>218</v>
      </c>
      <c r="B223" s="13">
        <f t="shared" ca="1" si="18"/>
        <v>0.25657716478413506</v>
      </c>
      <c r="C223" s="14">
        <f t="shared" ca="1" si="19"/>
        <v>4.4473545648647947</v>
      </c>
      <c r="D223" s="13">
        <f t="shared" ca="1" si="20"/>
        <v>0.28354491127422121</v>
      </c>
      <c r="E223" s="14">
        <f t="shared" ca="1" si="21"/>
        <v>5.2816169661350756</v>
      </c>
      <c r="F223" s="13">
        <f t="shared" ca="1" si="22"/>
        <v>0.14753563480322174</v>
      </c>
      <c r="G223" s="10">
        <f t="shared" ca="1" si="23"/>
        <v>1.771387559986362</v>
      </c>
    </row>
    <row r="224" spans="1:7">
      <c r="A224" s="8">
        <v>219</v>
      </c>
      <c r="B224" s="9">
        <f t="shared" ca="1" si="18"/>
        <v>0.9720090337834828</v>
      </c>
      <c r="C224" s="10">
        <f t="shared" ca="1" si="19"/>
        <v>53.638101839838427</v>
      </c>
      <c r="D224" s="9">
        <f t="shared" ca="1" si="20"/>
        <v>0.75998748349874012</v>
      </c>
      <c r="E224" s="10">
        <f t="shared" ca="1" si="21"/>
        <v>8.1114541870283468</v>
      </c>
      <c r="F224" s="9">
        <f t="shared" ca="1" si="22"/>
        <v>0.94187114918523163</v>
      </c>
      <c r="G224" s="10">
        <f t="shared" ca="1" si="23"/>
        <v>8.5199134383593957</v>
      </c>
    </row>
    <row r="225" spans="1:7">
      <c r="A225" s="8">
        <v>220</v>
      </c>
      <c r="B225" s="13">
        <f t="shared" ca="1" si="18"/>
        <v>0.57443888382451369</v>
      </c>
      <c r="C225" s="14">
        <f t="shared" ca="1" si="19"/>
        <v>12.815200612471891</v>
      </c>
      <c r="D225" s="13">
        <f t="shared" ca="1" si="20"/>
        <v>0.63655567393436541</v>
      </c>
      <c r="E225" s="14">
        <f t="shared" ca="1" si="21"/>
        <v>7.2149197977322288</v>
      </c>
      <c r="F225" s="13">
        <f t="shared" ca="1" si="22"/>
        <v>0.88689048629888023</v>
      </c>
      <c r="G225" s="10">
        <f t="shared" ca="1" si="23"/>
        <v>6.8626496727788382</v>
      </c>
    </row>
    <row r="226" spans="1:7">
      <c r="A226" s="8">
        <v>221</v>
      </c>
      <c r="B226" s="9">
        <f t="shared" ca="1" si="18"/>
        <v>0.88125065739946618</v>
      </c>
      <c r="C226" s="10">
        <f t="shared" ca="1" si="19"/>
        <v>31.961105581173221</v>
      </c>
      <c r="D226" s="9">
        <f t="shared" ca="1" si="20"/>
        <v>0.35705583597153157</v>
      </c>
      <c r="E226" s="10">
        <f t="shared" ca="1" si="21"/>
        <v>5.6356082510743013</v>
      </c>
      <c r="F226" s="9">
        <f t="shared" ca="1" si="22"/>
        <v>0.77629537197163268</v>
      </c>
      <c r="G226" s="10">
        <f t="shared" ca="1" si="23"/>
        <v>5.2375024893035507</v>
      </c>
    </row>
    <row r="227" spans="1:7">
      <c r="A227" s="8">
        <v>222</v>
      </c>
      <c r="B227" s="13">
        <f t="shared" ca="1" si="18"/>
        <v>0.92128855820339695</v>
      </c>
      <c r="C227" s="14">
        <f t="shared" ca="1" si="19"/>
        <v>38.129501237444387</v>
      </c>
      <c r="D227" s="13">
        <f t="shared" ca="1" si="20"/>
        <v>0.84057096393169739</v>
      </c>
      <c r="E227" s="14">
        <f t="shared" ca="1" si="21"/>
        <v>8.8307683466961482</v>
      </c>
      <c r="F227" s="13">
        <f t="shared" ca="1" si="22"/>
        <v>0.69770891583753314</v>
      </c>
      <c r="G227" s="10">
        <f t="shared" ca="1" si="23"/>
        <v>4.5298709762540241</v>
      </c>
    </row>
    <row r="228" spans="1:7">
      <c r="A228" s="8">
        <v>223</v>
      </c>
      <c r="B228" s="9">
        <f t="shared" ca="1" si="18"/>
        <v>3.6398102244572739E-2</v>
      </c>
      <c r="C228" s="10">
        <f t="shared" ca="1" si="19"/>
        <v>0.55615558200302828</v>
      </c>
      <c r="D228" s="9">
        <f t="shared" ca="1" si="20"/>
        <v>0.91913501094604155</v>
      </c>
      <c r="E228" s="10">
        <f t="shared" ca="1" si="21"/>
        <v>9.7429013512034128</v>
      </c>
      <c r="F228" s="9">
        <f t="shared" ca="1" si="22"/>
        <v>0.27895947733215931</v>
      </c>
      <c r="G228" s="10">
        <f t="shared" ca="1" si="23"/>
        <v>2.3359970088953816</v>
      </c>
    </row>
    <row r="229" spans="1:7">
      <c r="A229" s="8">
        <v>224</v>
      </c>
      <c r="B229" s="13">
        <f t="shared" ca="1" si="18"/>
        <v>0.25848332352339387</v>
      </c>
      <c r="C229" s="14">
        <f t="shared" ca="1" si="19"/>
        <v>4.4858644119911739</v>
      </c>
      <c r="D229" s="13">
        <f t="shared" ca="1" si="20"/>
        <v>0.13539929545800911</v>
      </c>
      <c r="E229" s="14">
        <f t="shared" ca="1" si="21"/>
        <v>4.5611493580833846</v>
      </c>
      <c r="F229" s="13">
        <f t="shared" ca="1" si="22"/>
        <v>0.65831206664097741</v>
      </c>
      <c r="G229" s="10">
        <f t="shared" ca="1" si="23"/>
        <v>4.2406496864610546</v>
      </c>
    </row>
    <row r="230" spans="1:7">
      <c r="A230" s="8">
        <v>225</v>
      </c>
      <c r="B230" s="9">
        <f t="shared" ca="1" si="18"/>
        <v>0.29418151211583976</v>
      </c>
      <c r="C230" s="10">
        <f t="shared" ca="1" si="19"/>
        <v>5.2259576078821519</v>
      </c>
      <c r="D230" s="9">
        <f t="shared" ca="1" si="20"/>
        <v>0.94820445068423842</v>
      </c>
      <c r="E230" s="10">
        <f t="shared" ca="1" si="21"/>
        <v>10.193589302818161</v>
      </c>
      <c r="F230" s="9">
        <f t="shared" ca="1" si="22"/>
        <v>0.97809255186411903</v>
      </c>
      <c r="G230" s="10">
        <f t="shared" ca="1" si="23"/>
        <v>11.128555806523586</v>
      </c>
    </row>
    <row r="231" spans="1:7">
      <c r="A231" s="8">
        <v>226</v>
      </c>
      <c r="B231" s="13">
        <f t="shared" ca="1" si="18"/>
        <v>0.39510731147629563</v>
      </c>
      <c r="C231" s="14">
        <f t="shared" ca="1" si="19"/>
        <v>7.5405631653745351</v>
      </c>
      <c r="D231" s="13">
        <f t="shared" ca="1" si="20"/>
        <v>0.9249392305482852</v>
      </c>
      <c r="E231" s="14">
        <f t="shared" ca="1" si="21"/>
        <v>9.8254130333651784</v>
      </c>
      <c r="F231" s="13">
        <f t="shared" ca="1" si="22"/>
        <v>0.89675964113410056</v>
      </c>
      <c r="G231" s="10">
        <f t="shared" ca="1" si="23"/>
        <v>7.0850088093589587</v>
      </c>
    </row>
    <row r="232" spans="1:7">
      <c r="A232" s="8">
        <v>227</v>
      </c>
      <c r="B232" s="9">
        <f t="shared" ca="1" si="18"/>
        <v>0.87687874883195727</v>
      </c>
      <c r="C232" s="10">
        <f t="shared" ca="1" si="19"/>
        <v>31.418784409793478</v>
      </c>
      <c r="D232" s="9">
        <f t="shared" ca="1" si="20"/>
        <v>0.2285978907815841</v>
      </c>
      <c r="E232" s="10">
        <f t="shared" ca="1" si="21"/>
        <v>5.0287495468344989</v>
      </c>
      <c r="F232" s="9">
        <f t="shared" ca="1" si="22"/>
        <v>0.75379117616930091</v>
      </c>
      <c r="G232" s="10">
        <f t="shared" ca="1" si="23"/>
        <v>5.012231225178903</v>
      </c>
    </row>
    <row r="233" spans="1:7">
      <c r="A233" s="8">
        <v>228</v>
      </c>
      <c r="B233" s="13">
        <f t="shared" ca="1" si="18"/>
        <v>0.73164700591821286</v>
      </c>
      <c r="C233" s="14">
        <f t="shared" ca="1" si="19"/>
        <v>19.731780345686623</v>
      </c>
      <c r="D233" s="13">
        <f t="shared" ca="1" si="20"/>
        <v>0.77721923007600979</v>
      </c>
      <c r="E233" s="14">
        <f t="shared" ca="1" si="21"/>
        <v>8.2536433024588565</v>
      </c>
      <c r="F233" s="13">
        <f t="shared" ca="1" si="22"/>
        <v>0.3522582325339787</v>
      </c>
      <c r="G233" s="10">
        <f t="shared" ca="1" si="23"/>
        <v>2.6444457752237249</v>
      </c>
    </row>
    <row r="234" spans="1:7">
      <c r="A234" s="8">
        <v>229</v>
      </c>
      <c r="B234" s="9">
        <f t="shared" ca="1" si="18"/>
        <v>0.31145949542031959</v>
      </c>
      <c r="C234" s="10">
        <f t="shared" ca="1" si="19"/>
        <v>5.5977169854414726</v>
      </c>
      <c r="D234" s="9">
        <f t="shared" ca="1" si="20"/>
        <v>0.26161544278125404</v>
      </c>
      <c r="E234" s="10">
        <f t="shared" ca="1" si="21"/>
        <v>5.1795728062839794</v>
      </c>
      <c r="F234" s="9">
        <f t="shared" ca="1" si="22"/>
        <v>0.98675017644896201</v>
      </c>
      <c r="G234" s="10">
        <f t="shared" ca="1" si="23"/>
        <v>12.569661029103447</v>
      </c>
    </row>
    <row r="235" spans="1:7">
      <c r="A235" s="8">
        <v>230</v>
      </c>
      <c r="B235" s="13">
        <f t="shared" ca="1" si="18"/>
        <v>0.50628064128404149</v>
      </c>
      <c r="C235" s="14">
        <f t="shared" ca="1" si="19"/>
        <v>10.586820344839412</v>
      </c>
      <c r="D235" s="13">
        <f t="shared" ca="1" si="20"/>
        <v>0.11742182688027425</v>
      </c>
      <c r="E235" s="14">
        <f t="shared" ca="1" si="21"/>
        <v>4.4538201002341857</v>
      </c>
      <c r="F235" s="13">
        <f t="shared" ca="1" si="22"/>
        <v>0.78304328217912844</v>
      </c>
      <c r="G235" s="10">
        <f t="shared" ca="1" si="23"/>
        <v>5.3095522338407175</v>
      </c>
    </row>
    <row r="236" spans="1:7">
      <c r="A236" s="8">
        <v>231</v>
      </c>
      <c r="B236" s="9">
        <f t="shared" ca="1" si="18"/>
        <v>0.75694657806124743</v>
      </c>
      <c r="C236" s="10">
        <f t="shared" ca="1" si="19"/>
        <v>21.217110246513734</v>
      </c>
      <c r="D236" s="9">
        <f t="shared" ca="1" si="20"/>
        <v>0.50501557602964686</v>
      </c>
      <c r="E236" s="10">
        <f t="shared" ca="1" si="21"/>
        <v>6.4157347206519422</v>
      </c>
      <c r="F236" s="9">
        <f t="shared" ca="1" si="22"/>
        <v>0.19208060059698073</v>
      </c>
      <c r="G236" s="10">
        <f t="shared" ca="1" si="23"/>
        <v>1.9696328396281002</v>
      </c>
    </row>
    <row r="237" spans="1:7">
      <c r="A237" s="8">
        <v>232</v>
      </c>
      <c r="B237" s="13">
        <f t="shared" ca="1" si="18"/>
        <v>0.21594075976701199</v>
      </c>
      <c r="C237" s="14">
        <f t="shared" ca="1" si="19"/>
        <v>3.6490604994703322</v>
      </c>
      <c r="D237" s="13">
        <f t="shared" ca="1" si="20"/>
        <v>0.49229036537420989</v>
      </c>
      <c r="E237" s="14">
        <f t="shared" ca="1" si="21"/>
        <v>6.3444092279033502</v>
      </c>
      <c r="F237" s="13">
        <f t="shared" ca="1" si="22"/>
        <v>0.84257863366419261</v>
      </c>
      <c r="G237" s="10">
        <f t="shared" ca="1" si="23"/>
        <v>6.0682328641154104</v>
      </c>
    </row>
    <row r="238" spans="1:7">
      <c r="A238" s="8">
        <v>233</v>
      </c>
      <c r="B238" s="9">
        <f t="shared" ca="1" si="18"/>
        <v>0.50380017190383131</v>
      </c>
      <c r="C238" s="10">
        <f t="shared" ca="1" si="19"/>
        <v>10.511648312476614</v>
      </c>
      <c r="D238" s="9">
        <f t="shared" ca="1" si="20"/>
        <v>0.32889611838777588</v>
      </c>
      <c r="E238" s="10">
        <f t="shared" ca="1" si="21"/>
        <v>5.497727740122679</v>
      </c>
      <c r="F238" s="9">
        <f t="shared" ca="1" si="22"/>
        <v>0.47813002989798459</v>
      </c>
      <c r="G238" s="10">
        <f t="shared" ca="1" si="23"/>
        <v>3.2126353345311638</v>
      </c>
    </row>
    <row r="239" spans="1:7">
      <c r="A239" s="8">
        <v>234</v>
      </c>
      <c r="B239" s="13">
        <f t="shared" ca="1" si="18"/>
        <v>0.96267993256980045</v>
      </c>
      <c r="C239" s="14">
        <f t="shared" ca="1" si="19"/>
        <v>49.323361442899156</v>
      </c>
      <c r="D239" s="13">
        <f t="shared" ca="1" si="20"/>
        <v>0.27816153984531655</v>
      </c>
      <c r="E239" s="14">
        <f t="shared" ca="1" si="21"/>
        <v>5.2564235757466902</v>
      </c>
      <c r="F239" s="13">
        <f t="shared" ca="1" si="22"/>
        <v>0.4700657346558651</v>
      </c>
      <c r="G239" s="10">
        <f t="shared" ca="1" si="23"/>
        <v>3.1738241775944278</v>
      </c>
    </row>
    <row r="240" spans="1:7">
      <c r="A240" s="8">
        <v>235</v>
      </c>
      <c r="B240" s="9">
        <f t="shared" ca="1" si="18"/>
        <v>6.3775973777974837E-2</v>
      </c>
      <c r="C240" s="10">
        <f t="shared" ca="1" si="19"/>
        <v>0.98850730332766701</v>
      </c>
      <c r="D240" s="9">
        <f t="shared" ca="1" si="20"/>
        <v>8.0845398428875725E-2</v>
      </c>
      <c r="E240" s="10">
        <f t="shared" ca="1" si="21"/>
        <v>4.2063238253967148</v>
      </c>
      <c r="F240" s="9">
        <f t="shared" ca="1" si="22"/>
        <v>0.65840832994303145</v>
      </c>
      <c r="G240" s="10">
        <f t="shared" ca="1" si="23"/>
        <v>4.2413169759334872</v>
      </c>
    </row>
    <row r="241" spans="1:7">
      <c r="A241" s="8">
        <v>236</v>
      </c>
      <c r="B241" s="13">
        <f t="shared" ca="1" si="18"/>
        <v>0.51891105953946504</v>
      </c>
      <c r="C241" s="14">
        <f t="shared" ca="1" si="19"/>
        <v>10.975546778509242</v>
      </c>
      <c r="D241" s="13">
        <f t="shared" ca="1" si="20"/>
        <v>0.69066440214730096</v>
      </c>
      <c r="E241" s="14">
        <f t="shared" ca="1" si="21"/>
        <v>7.5854623498354847</v>
      </c>
      <c r="F241" s="13">
        <f t="shared" ca="1" si="22"/>
        <v>9.3581466559396698E-2</v>
      </c>
      <c r="G241" s="10">
        <f t="shared" ca="1" si="23"/>
        <v>1.5046930286061888</v>
      </c>
    </row>
    <row r="242" spans="1:7">
      <c r="A242" s="8">
        <v>237</v>
      </c>
      <c r="B242" s="9">
        <f t="shared" ca="1" si="18"/>
        <v>8.2157933587385878E-2</v>
      </c>
      <c r="C242" s="10">
        <f t="shared" ca="1" si="19"/>
        <v>1.2859491616087848</v>
      </c>
      <c r="D242" s="9">
        <f t="shared" ca="1" si="20"/>
        <v>0.61394884772432923</v>
      </c>
      <c r="E242" s="10">
        <f t="shared" ca="1" si="21"/>
        <v>7.0683448424117019</v>
      </c>
      <c r="F242" s="9">
        <f t="shared" ca="1" si="22"/>
        <v>0.44280154566053676</v>
      </c>
      <c r="G242" s="10">
        <f t="shared" ca="1" si="23"/>
        <v>3.0455392341048002</v>
      </c>
    </row>
    <row r="243" spans="1:7">
      <c r="A243" s="8">
        <v>238</v>
      </c>
      <c r="B243" s="13">
        <f t="shared" ca="1" si="18"/>
        <v>0.82795663343466197</v>
      </c>
      <c r="C243" s="14">
        <f t="shared" ca="1" si="19"/>
        <v>26.400130541318791</v>
      </c>
      <c r="D243" s="13">
        <f t="shared" ca="1" si="20"/>
        <v>0.44910490022848704</v>
      </c>
      <c r="E243" s="14">
        <f t="shared" ca="1" si="21"/>
        <v>6.1087869427761046</v>
      </c>
      <c r="F243" s="13">
        <f t="shared" ca="1" si="22"/>
        <v>0.3036717491579134</v>
      </c>
      <c r="G243" s="10">
        <f t="shared" ca="1" si="23"/>
        <v>2.4392205164531027</v>
      </c>
    </row>
    <row r="244" spans="1:7">
      <c r="A244" s="8">
        <v>239</v>
      </c>
      <c r="B244" s="9">
        <f t="shared" ca="1" si="18"/>
        <v>0.73455454526323749</v>
      </c>
      <c r="C244" s="10">
        <f t="shared" ca="1" si="19"/>
        <v>19.89518854438867</v>
      </c>
      <c r="D244" s="9">
        <f t="shared" ca="1" si="20"/>
        <v>0.96991818837370314</v>
      </c>
      <c r="E244" s="10">
        <f t="shared" ca="1" si="21"/>
        <v>10.623354027915418</v>
      </c>
      <c r="F244" s="9">
        <f t="shared" ca="1" si="22"/>
        <v>0.20854634285399398</v>
      </c>
      <c r="G244" s="10">
        <f t="shared" ca="1" si="23"/>
        <v>2.0403364689410379</v>
      </c>
    </row>
    <row r="245" spans="1:7">
      <c r="A245" s="8">
        <v>240</v>
      </c>
      <c r="B245" s="13">
        <f t="shared" ca="1" si="18"/>
        <v>0.75152284245964274</v>
      </c>
      <c r="C245" s="14">
        <f t="shared" ca="1" si="19"/>
        <v>20.886065385558794</v>
      </c>
      <c r="D245" s="13">
        <f t="shared" ca="1" si="20"/>
        <v>0.94649238237772049</v>
      </c>
      <c r="E245" s="14">
        <f t="shared" ca="1" si="21"/>
        <v>10.163977148779567</v>
      </c>
      <c r="F245" s="13">
        <f t="shared" ca="1" si="22"/>
        <v>0.47837667718664156</v>
      </c>
      <c r="G245" s="10">
        <f t="shared" ca="1" si="23"/>
        <v>3.2138290629102344</v>
      </c>
    </row>
    <row r="246" spans="1:7">
      <c r="A246" s="8">
        <v>241</v>
      </c>
      <c r="B246" s="9">
        <f t="shared" ca="1" si="18"/>
        <v>0.4493726378783981</v>
      </c>
      <c r="C246" s="10">
        <f t="shared" ca="1" si="19"/>
        <v>8.9504548861383402</v>
      </c>
      <c r="D246" s="9">
        <f t="shared" ca="1" si="20"/>
        <v>0.30023916454638622</v>
      </c>
      <c r="E246" s="10">
        <f t="shared" ca="1" si="21"/>
        <v>5.3603514676168542</v>
      </c>
      <c r="F246" s="9">
        <f t="shared" ca="1" si="22"/>
        <v>0.50719188333645004</v>
      </c>
      <c r="G246" s="10">
        <f t="shared" ca="1" si="23"/>
        <v>3.3562256119926612</v>
      </c>
    </row>
    <row r="247" spans="1:7">
      <c r="A247" s="8">
        <v>242</v>
      </c>
      <c r="B247" s="13">
        <f t="shared" ca="1" si="18"/>
        <v>0.27811457284554919</v>
      </c>
      <c r="C247" s="14">
        <f t="shared" ca="1" si="19"/>
        <v>4.8883326125000686</v>
      </c>
      <c r="D247" s="13">
        <f t="shared" ca="1" si="20"/>
        <v>0.74068286488676771</v>
      </c>
      <c r="E247" s="14">
        <f t="shared" ca="1" si="21"/>
        <v>7.9580970432067977</v>
      </c>
      <c r="F247" s="13">
        <f t="shared" ca="1" si="22"/>
        <v>0.5732052149266651</v>
      </c>
      <c r="G247" s="10">
        <f t="shared" ca="1" si="23"/>
        <v>3.7088587488877933</v>
      </c>
    </row>
    <row r="248" spans="1:7">
      <c r="A248" s="8">
        <v>243</v>
      </c>
      <c r="B248" s="9">
        <f t="shared" ca="1" si="18"/>
        <v>0.58074792592376034</v>
      </c>
      <c r="C248" s="10">
        <f t="shared" ca="1" si="19"/>
        <v>13.039243967702522</v>
      </c>
      <c r="D248" s="9">
        <f t="shared" ca="1" si="20"/>
        <v>0.67196943506857987</v>
      </c>
      <c r="E248" s="10">
        <f t="shared" ca="1" si="21"/>
        <v>7.4540209425603967</v>
      </c>
      <c r="F248" s="9">
        <f t="shared" ca="1" si="22"/>
        <v>0.46346536502004898</v>
      </c>
      <c r="G248" s="10">
        <f t="shared" ca="1" si="23"/>
        <v>3.1423650601007598</v>
      </c>
    </row>
    <row r="249" spans="1:7">
      <c r="A249" s="8">
        <v>244</v>
      </c>
      <c r="B249" s="13">
        <f t="shared" ca="1" si="18"/>
        <v>0.91675236744633726</v>
      </c>
      <c r="C249" s="14">
        <f t="shared" ca="1" si="19"/>
        <v>37.289033824796803</v>
      </c>
      <c r="D249" s="13">
        <f t="shared" ca="1" si="20"/>
        <v>0.73235015667635617</v>
      </c>
      <c r="E249" s="14">
        <f t="shared" ca="1" si="21"/>
        <v>7.8936707232140328</v>
      </c>
      <c r="F249" s="13">
        <f t="shared" ca="1" si="22"/>
        <v>0.1281984468496431</v>
      </c>
      <c r="G249" s="10">
        <f t="shared" ca="1" si="23"/>
        <v>1.6803983781381497</v>
      </c>
    </row>
    <row r="250" spans="1:7">
      <c r="A250" s="8">
        <v>245</v>
      </c>
      <c r="B250" s="9">
        <f t="shared" ca="1" si="18"/>
        <v>0.8363656484333728</v>
      </c>
      <c r="C250" s="10">
        <f t="shared" ca="1" si="19"/>
        <v>27.151813559303555</v>
      </c>
      <c r="D250" s="9">
        <f t="shared" ca="1" si="20"/>
        <v>0.4848264178367141</v>
      </c>
      <c r="E250" s="10">
        <f t="shared" ca="1" si="21"/>
        <v>6.30298888220437</v>
      </c>
      <c r="F250" s="9">
        <f t="shared" ca="1" si="22"/>
        <v>0.15338220150101389</v>
      </c>
      <c r="G250" s="10">
        <f t="shared" ca="1" si="23"/>
        <v>1.798187270987029</v>
      </c>
    </row>
    <row r="251" spans="1:7">
      <c r="A251" s="8">
        <v>246</v>
      </c>
      <c r="B251" s="13">
        <f t="shared" ca="1" si="18"/>
        <v>0.23726922802519124</v>
      </c>
      <c r="C251" s="14">
        <f t="shared" ca="1" si="19"/>
        <v>4.0627524678020661</v>
      </c>
      <c r="D251" s="13">
        <f t="shared" ca="1" si="20"/>
        <v>0.19446757604251341</v>
      </c>
      <c r="E251" s="14">
        <f t="shared" ca="1" si="21"/>
        <v>4.8709399693109452</v>
      </c>
      <c r="F251" s="13">
        <f t="shared" ca="1" si="22"/>
        <v>0.29125974282719702</v>
      </c>
      <c r="G251" s="10">
        <f t="shared" ca="1" si="23"/>
        <v>2.387328694381083</v>
      </c>
    </row>
    <row r="252" spans="1:7">
      <c r="A252" s="8">
        <v>247</v>
      </c>
      <c r="B252" s="9">
        <f t="shared" ca="1" si="18"/>
        <v>0.12966972590697567</v>
      </c>
      <c r="C252" s="10">
        <f t="shared" ca="1" si="19"/>
        <v>2.0832377096807306</v>
      </c>
      <c r="D252" s="9">
        <f t="shared" ca="1" si="20"/>
        <v>0.1281674909217525</v>
      </c>
      <c r="E252" s="10">
        <f t="shared" ca="1" si="21"/>
        <v>4.5188860512202833</v>
      </c>
      <c r="F252" s="9">
        <f t="shared" ca="1" si="22"/>
        <v>0.91034069201482448</v>
      </c>
      <c r="G252" s="10">
        <f t="shared" ca="1" si="23"/>
        <v>7.4313949137828503</v>
      </c>
    </row>
    <row r="253" spans="1:7">
      <c r="A253" s="8">
        <v>248</v>
      </c>
      <c r="B253" s="13">
        <f t="shared" ca="1" si="18"/>
        <v>0.7419404503661845</v>
      </c>
      <c r="C253" s="14">
        <f t="shared" ca="1" si="19"/>
        <v>20.318473622391988</v>
      </c>
      <c r="D253" s="13">
        <f t="shared" ca="1" si="20"/>
        <v>0.43431093970571066</v>
      </c>
      <c r="E253" s="14">
        <f t="shared" ca="1" si="21"/>
        <v>6.0302084794743269</v>
      </c>
      <c r="F253" s="13">
        <f t="shared" ca="1" si="22"/>
        <v>0.18746065191381445</v>
      </c>
      <c r="G253" s="10">
        <f t="shared" ca="1" si="23"/>
        <v>1.9496002381721877</v>
      </c>
    </row>
    <row r="254" spans="1:7">
      <c r="A254" s="8">
        <v>249</v>
      </c>
      <c r="B254" s="9">
        <f t="shared" ca="1" si="18"/>
        <v>0.63615787137477942</v>
      </c>
      <c r="C254" s="10">
        <f t="shared" ca="1" si="19"/>
        <v>15.165528269909569</v>
      </c>
      <c r="D254" s="9">
        <f t="shared" ca="1" si="20"/>
        <v>0.35659199322951085</v>
      </c>
      <c r="E254" s="10">
        <f t="shared" ca="1" si="21"/>
        <v>5.6333129159239483</v>
      </c>
      <c r="F254" s="9">
        <f t="shared" ca="1" si="22"/>
        <v>5.5726485192569508E-2</v>
      </c>
      <c r="G254" s="10">
        <f t="shared" ca="1" si="23"/>
        <v>1.2775986323625625</v>
      </c>
    </row>
    <row r="255" spans="1:7">
      <c r="A255" s="8">
        <v>250</v>
      </c>
      <c r="B255" s="13">
        <f t="shared" ca="1" si="18"/>
        <v>0.30513123386758956</v>
      </c>
      <c r="C255" s="14">
        <f t="shared" ca="1" si="19"/>
        <v>5.4604841543388831</v>
      </c>
      <c r="D255" s="13">
        <f t="shared" ca="1" si="20"/>
        <v>0.96636779511323556</v>
      </c>
      <c r="E255" s="14">
        <f t="shared" ca="1" si="21"/>
        <v>10.54438023238685</v>
      </c>
      <c r="F255" s="13">
        <f t="shared" ca="1" si="22"/>
        <v>0.57484838047086795</v>
      </c>
      <c r="G255" s="10">
        <f t="shared" ca="1" si="23"/>
        <v>3.7181971637622113</v>
      </c>
    </row>
    <row r="256" spans="1:7">
      <c r="A256" s="8">
        <v>251</v>
      </c>
      <c r="B256" s="9">
        <f t="shared" ca="1" si="18"/>
        <v>0.38202621076369692</v>
      </c>
      <c r="C256" s="10">
        <f t="shared" ca="1" si="19"/>
        <v>7.2196385199429374</v>
      </c>
      <c r="D256" s="9">
        <f t="shared" ca="1" si="20"/>
        <v>0.45040947432007095</v>
      </c>
      <c r="E256" s="10">
        <f t="shared" ca="1" si="21"/>
        <v>6.1157665649775979</v>
      </c>
      <c r="F256" s="9">
        <f t="shared" ca="1" si="22"/>
        <v>0.17487359597304797</v>
      </c>
      <c r="G256" s="10">
        <f t="shared" ca="1" si="23"/>
        <v>1.8944946713487762</v>
      </c>
    </row>
    <row r="257" spans="1:7">
      <c r="A257" s="8">
        <v>252</v>
      </c>
      <c r="B257" s="13">
        <f t="shared" ca="1" si="18"/>
        <v>0.96366235635333242</v>
      </c>
      <c r="C257" s="14">
        <f t="shared" ca="1" si="19"/>
        <v>49.723515899704346</v>
      </c>
      <c r="D257" s="13">
        <f t="shared" ca="1" si="20"/>
        <v>0.85706721769925587</v>
      </c>
      <c r="E257" s="14">
        <f t="shared" ca="1" si="21"/>
        <v>8.9992058909437187</v>
      </c>
      <c r="F257" s="13">
        <f t="shared" ca="1" si="22"/>
        <v>0.33310978665618596</v>
      </c>
      <c r="G257" s="10">
        <f t="shared" ca="1" si="23"/>
        <v>2.5630416107195191</v>
      </c>
    </row>
    <row r="258" spans="1:7">
      <c r="A258" s="8">
        <v>253</v>
      </c>
      <c r="B258" s="9">
        <f t="shared" ca="1" si="18"/>
        <v>0.82803760147572769</v>
      </c>
      <c r="C258" s="10">
        <f t="shared" ca="1" si="19"/>
        <v>26.407191589485219</v>
      </c>
      <c r="D258" s="9">
        <f t="shared" ca="1" si="20"/>
        <v>0.2688421301010665</v>
      </c>
      <c r="E258" s="10">
        <f t="shared" ca="1" si="21"/>
        <v>5.2130311770546038</v>
      </c>
      <c r="F258" s="9">
        <f t="shared" ca="1" si="22"/>
        <v>0.59521221114272205</v>
      </c>
      <c r="G258" s="10">
        <f t="shared" ca="1" si="23"/>
        <v>3.8365908012453298</v>
      </c>
    </row>
    <row r="259" spans="1:7">
      <c r="A259" s="8">
        <v>254</v>
      </c>
      <c r="B259" s="13">
        <f t="shared" ca="1" si="18"/>
        <v>7.4753816290050179E-2</v>
      </c>
      <c r="C259" s="14">
        <f t="shared" ca="1" si="19"/>
        <v>1.1654314849288976</v>
      </c>
      <c r="D259" s="13">
        <f t="shared" ca="1" si="20"/>
        <v>0.94685454359364285</v>
      </c>
      <c r="E259" s="14">
        <f t="shared" ca="1" si="21"/>
        <v>10.170201171275787</v>
      </c>
      <c r="F259" s="13">
        <f t="shared" ca="1" si="22"/>
        <v>0.37260741063030101</v>
      </c>
      <c r="G259" s="10">
        <f t="shared" ca="1" si="23"/>
        <v>2.7319803672403191</v>
      </c>
    </row>
    <row r="260" spans="1:7">
      <c r="A260" s="8">
        <v>255</v>
      </c>
      <c r="B260" s="9">
        <f t="shared" ca="1" si="18"/>
        <v>0.77147692511128962</v>
      </c>
      <c r="C260" s="10">
        <f t="shared" ca="1" si="19"/>
        <v>22.141771343261539</v>
      </c>
      <c r="D260" s="9">
        <f t="shared" ca="1" si="20"/>
        <v>0.43287578860877052</v>
      </c>
      <c r="E260" s="10">
        <f t="shared" ca="1" si="21"/>
        <v>6.0226406066183831</v>
      </c>
      <c r="F260" s="9">
        <f t="shared" ca="1" si="22"/>
        <v>3.681510722842396E-2</v>
      </c>
      <c r="G260" s="10">
        <f t="shared" ca="1" si="23"/>
        <v>1.1350280509778436</v>
      </c>
    </row>
    <row r="261" spans="1:7">
      <c r="A261" s="8">
        <v>256</v>
      </c>
      <c r="B261" s="13">
        <f t="shared" ca="1" si="18"/>
        <v>0.64654018783092149</v>
      </c>
      <c r="C261" s="14">
        <f t="shared" ca="1" si="19"/>
        <v>15.599782284406061</v>
      </c>
      <c r="D261" s="13">
        <f t="shared" ca="1" si="20"/>
        <v>0.20989666738826851</v>
      </c>
      <c r="E261" s="14">
        <f t="shared" ca="1" si="21"/>
        <v>4.9437438136207232</v>
      </c>
      <c r="F261" s="13">
        <f t="shared" ca="1" si="22"/>
        <v>0.64705184524733184</v>
      </c>
      <c r="G261" s="10">
        <f t="shared" ca="1" si="23"/>
        <v>4.1637824190635824</v>
      </c>
    </row>
    <row r="262" spans="1:7">
      <c r="A262" s="8">
        <v>257</v>
      </c>
      <c r="B262" s="9">
        <f t="shared" ref="B262:B325" ca="1" si="24">RAND()</f>
        <v>0.87109096125711438</v>
      </c>
      <c r="C262" s="10">
        <f t="shared" ref="C262:C325" ca="1" si="25">-$J$6 * LN(1 - B262)</f>
        <v>30.729723740443315</v>
      </c>
      <c r="D262" s="9">
        <f t="shared" ref="D262:D325" ca="1" si="26">RAND()</f>
        <v>0.25870625062457608</v>
      </c>
      <c r="E262" s="10">
        <f t="shared" ref="E262:E325" ca="1" si="27">IF(D262&lt;=$N$9, $N$6+SQRT(D262*($N$8-$N$6)*($N$7-$N$6)), $N$8-SQRT((1-D262)*($N$8-$N$6)*($N$8-$N$7)))</f>
        <v>5.1661499716008032</v>
      </c>
      <c r="F262" s="9">
        <f t="shared" ref="F262:F325" ca="1" si="28">RAND()</f>
        <v>0.94392440043690196</v>
      </c>
      <c r="G262" s="10">
        <f t="shared" ca="1" si="23"/>
        <v>8.612018686120221</v>
      </c>
    </row>
    <row r="263" spans="1:7">
      <c r="A263" s="8">
        <v>258</v>
      </c>
      <c r="B263" s="13">
        <f t="shared" ca="1" si="24"/>
        <v>0.98265673006873999</v>
      </c>
      <c r="C263" s="14">
        <f t="shared" ca="1" si="25"/>
        <v>60.818261220863704</v>
      </c>
      <c r="D263" s="13">
        <f t="shared" ca="1" si="26"/>
        <v>0.9099183408591045</v>
      </c>
      <c r="E263" s="14">
        <f t="shared" ca="1" si="27"/>
        <v>9.6177438160692255</v>
      </c>
      <c r="F263" s="13">
        <f t="shared" ca="1" si="28"/>
        <v>4.6153437000490904E-2</v>
      </c>
      <c r="G263" s="10">
        <f t="shared" ref="G263:G326" ca="1" si="29">_xlfn.LOGNORM.INV(F263, $R$6, $R$7)</f>
        <v>1.2092356960073354</v>
      </c>
    </row>
    <row r="264" spans="1:7">
      <c r="A264" s="8">
        <v>259</v>
      </c>
      <c r="B264" s="9">
        <f t="shared" ca="1" si="24"/>
        <v>0.74452778174490597</v>
      </c>
      <c r="C264" s="10">
        <f t="shared" ca="1" si="25"/>
        <v>20.469624150962375</v>
      </c>
      <c r="D264" s="9">
        <f t="shared" ca="1" si="26"/>
        <v>9.0017389323141184E-2</v>
      </c>
      <c r="E264" s="10">
        <f t="shared" ca="1" si="27"/>
        <v>4.2729151612800207</v>
      </c>
      <c r="F264" s="9">
        <f t="shared" ca="1" si="28"/>
        <v>0.78017123747843609</v>
      </c>
      <c r="G264" s="10">
        <f t="shared" ca="1" si="29"/>
        <v>5.278611023216671</v>
      </c>
    </row>
    <row r="265" spans="1:7">
      <c r="A265" s="8">
        <v>260</v>
      </c>
      <c r="B265" s="13">
        <f t="shared" ca="1" si="24"/>
        <v>0.77149724204092618</v>
      </c>
      <c r="C265" s="14">
        <f t="shared" ca="1" si="25"/>
        <v>22.143104983169156</v>
      </c>
      <c r="D265" s="13">
        <f t="shared" ca="1" si="26"/>
        <v>0.30507395037786811</v>
      </c>
      <c r="E265" s="14">
        <f t="shared" ca="1" si="27"/>
        <v>5.3833285463010698</v>
      </c>
      <c r="F265" s="13">
        <f t="shared" ca="1" si="28"/>
        <v>0.28263354879856284</v>
      </c>
      <c r="G265" s="10">
        <f t="shared" ca="1" si="29"/>
        <v>2.3513238991467786</v>
      </c>
    </row>
    <row r="266" spans="1:7">
      <c r="A266" s="8">
        <v>261</v>
      </c>
      <c r="B266" s="9">
        <f t="shared" ca="1" si="24"/>
        <v>0.37735089514626385</v>
      </c>
      <c r="C266" s="10">
        <f t="shared" ca="1" si="25"/>
        <v>7.1065823018333978</v>
      </c>
      <c r="D266" s="9">
        <f t="shared" ca="1" si="26"/>
        <v>0.14089204304884395</v>
      </c>
      <c r="E266" s="10">
        <f t="shared" ca="1" si="27"/>
        <v>4.5925001647972259</v>
      </c>
      <c r="F266" s="9">
        <f t="shared" ca="1" si="28"/>
        <v>0.44941735062767607</v>
      </c>
      <c r="G266" s="10">
        <f t="shared" ca="1" si="29"/>
        <v>3.0762763016368453</v>
      </c>
    </row>
    <row r="267" spans="1:7">
      <c r="A267" s="8">
        <v>262</v>
      </c>
      <c r="B267" s="13">
        <f t="shared" ca="1" si="24"/>
        <v>0.4830551894371985</v>
      </c>
      <c r="C267" s="14">
        <f t="shared" ca="1" si="25"/>
        <v>9.8972873935019727</v>
      </c>
      <c r="D267" s="13">
        <f t="shared" ca="1" si="26"/>
        <v>0.96218593469084668</v>
      </c>
      <c r="E267" s="14">
        <f t="shared" ca="1" si="27"/>
        <v>10.456534381828781</v>
      </c>
      <c r="F267" s="13">
        <f t="shared" ca="1" si="28"/>
        <v>0.67647164121194836</v>
      </c>
      <c r="G267" s="10">
        <f t="shared" ca="1" si="29"/>
        <v>4.3697811041161927</v>
      </c>
    </row>
    <row r="268" spans="1:7">
      <c r="A268" s="8">
        <v>263</v>
      </c>
      <c r="B268" s="9">
        <f t="shared" ca="1" si="24"/>
        <v>0.10966664844710083</v>
      </c>
      <c r="C268" s="10">
        <f t="shared" ca="1" si="25"/>
        <v>1.742390011147922</v>
      </c>
      <c r="D268" s="9">
        <f t="shared" ca="1" si="26"/>
        <v>0.28663680191994945</v>
      </c>
      <c r="E268" s="10">
        <f t="shared" ca="1" si="27"/>
        <v>5.2961293658780093</v>
      </c>
      <c r="F268" s="9">
        <f t="shared" ca="1" si="28"/>
        <v>0.82966317358126429</v>
      </c>
      <c r="G268" s="10">
        <f t="shared" ca="1" si="29"/>
        <v>5.8808483548484007</v>
      </c>
    </row>
    <row r="269" spans="1:7">
      <c r="A269" s="8">
        <v>264</v>
      </c>
      <c r="B269" s="13">
        <f t="shared" ca="1" si="24"/>
        <v>1.8111684483870905E-2</v>
      </c>
      <c r="C269" s="14">
        <f t="shared" ca="1" si="25"/>
        <v>0.2741656312386368</v>
      </c>
      <c r="D269" s="13">
        <f t="shared" ca="1" si="26"/>
        <v>0.68309317814548043</v>
      </c>
      <c r="E269" s="14">
        <f t="shared" ca="1" si="27"/>
        <v>7.5317643552701101</v>
      </c>
      <c r="F269" s="13">
        <f t="shared" ca="1" si="28"/>
        <v>0.55378948994255495</v>
      </c>
      <c r="G269" s="10">
        <f t="shared" ca="1" si="29"/>
        <v>3.6007596472911971</v>
      </c>
    </row>
    <row r="270" spans="1:7">
      <c r="A270" s="8">
        <v>265</v>
      </c>
      <c r="B270" s="9">
        <f t="shared" ca="1" si="24"/>
        <v>0.49295208929519807</v>
      </c>
      <c r="C270" s="10">
        <f t="shared" ca="1" si="25"/>
        <v>10.187246721361312</v>
      </c>
      <c r="D270" s="9">
        <f t="shared" ca="1" si="26"/>
        <v>0.42468655816632428</v>
      </c>
      <c r="E270" s="10">
        <f t="shared" ca="1" si="27"/>
        <v>5.9796389779746955</v>
      </c>
      <c r="F270" s="9">
        <f t="shared" ca="1" si="28"/>
        <v>0.66844383166199106</v>
      </c>
      <c r="G270" s="10">
        <f t="shared" ca="1" si="29"/>
        <v>4.311871790267686</v>
      </c>
    </row>
    <row r="271" spans="1:7">
      <c r="A271" s="8">
        <v>266</v>
      </c>
      <c r="B271" s="13">
        <f t="shared" ca="1" si="24"/>
        <v>0.78707165133844648</v>
      </c>
      <c r="C271" s="14">
        <f t="shared" ca="1" si="25"/>
        <v>23.201993416878839</v>
      </c>
      <c r="D271" s="13">
        <f t="shared" ca="1" si="26"/>
        <v>0.59582448106605568</v>
      </c>
      <c r="E271" s="14">
        <f t="shared" ca="1" si="27"/>
        <v>6.9539066900384716</v>
      </c>
      <c r="F271" s="13">
        <f t="shared" ca="1" si="28"/>
        <v>0.94728935166657224</v>
      </c>
      <c r="G271" s="10">
        <f t="shared" ca="1" si="29"/>
        <v>8.7711893908867342</v>
      </c>
    </row>
    <row r="272" spans="1:7">
      <c r="A272" s="8">
        <v>267</v>
      </c>
      <c r="B272" s="9">
        <f t="shared" ca="1" si="24"/>
        <v>0.74953405787397964</v>
      </c>
      <c r="C272" s="10">
        <f t="shared" ca="1" si="25"/>
        <v>20.766484909159853</v>
      </c>
      <c r="D272" s="9">
        <f t="shared" ca="1" si="26"/>
        <v>0.50487865589162972</v>
      </c>
      <c r="E272" s="10">
        <f t="shared" ca="1" si="27"/>
        <v>6.4149624281633226</v>
      </c>
      <c r="F272" s="9">
        <f t="shared" ca="1" si="28"/>
        <v>0.24256795696900324</v>
      </c>
      <c r="G272" s="10">
        <f t="shared" ca="1" si="29"/>
        <v>2.1840051028346257</v>
      </c>
    </row>
    <row r="273" spans="1:7">
      <c r="A273" s="8">
        <v>268</v>
      </c>
      <c r="B273" s="13">
        <f t="shared" ca="1" si="24"/>
        <v>0.91624210596190936</v>
      </c>
      <c r="C273" s="14">
        <f t="shared" ca="1" si="25"/>
        <v>37.197372833214871</v>
      </c>
      <c r="D273" s="13">
        <f t="shared" ca="1" si="26"/>
        <v>6.9189088102895924E-2</v>
      </c>
      <c r="E273" s="14">
        <f t="shared" ca="1" si="27"/>
        <v>4.1159765167117666</v>
      </c>
      <c r="F273" s="13">
        <f t="shared" ca="1" si="28"/>
        <v>0.72068779325997323</v>
      </c>
      <c r="G273" s="10">
        <f t="shared" ca="1" si="29"/>
        <v>4.7158612620330675</v>
      </c>
    </row>
    <row r="274" spans="1:7">
      <c r="A274" s="8">
        <v>269</v>
      </c>
      <c r="B274" s="9">
        <f t="shared" ca="1" si="24"/>
        <v>0.95964867200741089</v>
      </c>
      <c r="C274" s="10">
        <f t="shared" ca="1" si="25"/>
        <v>48.151964594574011</v>
      </c>
      <c r="D274" s="9">
        <f t="shared" ca="1" si="26"/>
        <v>0.93101907114386462</v>
      </c>
      <c r="E274" s="10">
        <f t="shared" ca="1" si="27"/>
        <v>9.9153421100965922</v>
      </c>
      <c r="F274" s="9">
        <f t="shared" ca="1" si="28"/>
        <v>0.82520683910866877</v>
      </c>
      <c r="G274" s="10">
        <f t="shared" ca="1" si="29"/>
        <v>5.8196213287534375</v>
      </c>
    </row>
    <row r="275" spans="1:7">
      <c r="A275" s="8">
        <v>270</v>
      </c>
      <c r="B275" s="13">
        <f t="shared" ca="1" si="24"/>
        <v>0.96604869542935756</v>
      </c>
      <c r="C275" s="14">
        <f t="shared" ca="1" si="25"/>
        <v>50.742419992226331</v>
      </c>
      <c r="D275" s="13">
        <f t="shared" ca="1" si="26"/>
        <v>0.86192833137776814</v>
      </c>
      <c r="E275" s="14">
        <f t="shared" ca="1" si="27"/>
        <v>9.0506754801818428</v>
      </c>
      <c r="F275" s="13">
        <f t="shared" ca="1" si="28"/>
        <v>0.57257354367070501</v>
      </c>
      <c r="G275" s="10">
        <f t="shared" ca="1" si="29"/>
        <v>3.7052770139643987</v>
      </c>
    </row>
    <row r="276" spans="1:7">
      <c r="A276" s="8">
        <v>271</v>
      </c>
      <c r="B276" s="9">
        <f t="shared" ca="1" si="24"/>
        <v>0.2081784128791212</v>
      </c>
      <c r="C276" s="10">
        <f t="shared" ca="1" si="25"/>
        <v>3.5012877199695702</v>
      </c>
      <c r="D276" s="9">
        <f t="shared" ca="1" si="26"/>
        <v>0.1552190287774623</v>
      </c>
      <c r="E276" s="10">
        <f t="shared" ca="1" si="27"/>
        <v>4.6715090541167648</v>
      </c>
      <c r="F276" s="9">
        <f t="shared" ca="1" si="28"/>
        <v>0.20764182943435228</v>
      </c>
      <c r="G276" s="10">
        <f t="shared" ca="1" si="29"/>
        <v>2.0364773037757402</v>
      </c>
    </row>
    <row r="277" spans="1:7">
      <c r="A277" s="8">
        <v>272</v>
      </c>
      <c r="B277" s="13">
        <f t="shared" ca="1" si="24"/>
        <v>0.24340088658713455</v>
      </c>
      <c r="C277" s="14">
        <f t="shared" ca="1" si="25"/>
        <v>4.1838260788229444</v>
      </c>
      <c r="D277" s="13">
        <f t="shared" ca="1" si="26"/>
        <v>0.21596447591266499</v>
      </c>
      <c r="E277" s="14">
        <f t="shared" ca="1" si="27"/>
        <v>4.9716390558182724</v>
      </c>
      <c r="F277" s="13">
        <f t="shared" ca="1" si="28"/>
        <v>0.6988290849142883</v>
      </c>
      <c r="G277" s="10">
        <f t="shared" ca="1" si="29"/>
        <v>4.538613105549862</v>
      </c>
    </row>
    <row r="278" spans="1:7">
      <c r="A278" s="8">
        <v>273</v>
      </c>
      <c r="B278" s="9">
        <f t="shared" ca="1" si="24"/>
        <v>0.41818183247160379</v>
      </c>
      <c r="C278" s="10">
        <f t="shared" ca="1" si="25"/>
        <v>8.1239596048997047</v>
      </c>
      <c r="D278" s="9">
        <f t="shared" ca="1" si="26"/>
        <v>0.42148769408816633</v>
      </c>
      <c r="E278" s="10">
        <f t="shared" ca="1" si="27"/>
        <v>5.9629249406318028</v>
      </c>
      <c r="F278" s="9">
        <f t="shared" ca="1" si="28"/>
        <v>0.90796622802053584</v>
      </c>
      <c r="G278" s="10">
        <f t="shared" ca="1" si="29"/>
        <v>7.3669284200328198</v>
      </c>
    </row>
    <row r="279" spans="1:7">
      <c r="A279" s="8">
        <v>274</v>
      </c>
      <c r="B279" s="13">
        <f t="shared" ca="1" si="24"/>
        <v>4.1279943931372132E-2</v>
      </c>
      <c r="C279" s="14">
        <f t="shared" ca="1" si="25"/>
        <v>0.63234238575893587</v>
      </c>
      <c r="D279" s="13">
        <f t="shared" ca="1" si="26"/>
        <v>0.95801158072378678</v>
      </c>
      <c r="E279" s="14">
        <f t="shared" ca="1" si="27"/>
        <v>10.373571269805703</v>
      </c>
      <c r="F279" s="13">
        <f t="shared" ca="1" si="28"/>
        <v>0.435289154001965</v>
      </c>
      <c r="G279" s="10">
        <f t="shared" ca="1" si="29"/>
        <v>3.010919837368621</v>
      </c>
    </row>
    <row r="280" spans="1:7">
      <c r="A280" s="8">
        <v>275</v>
      </c>
      <c r="B280" s="9">
        <f t="shared" ca="1" si="24"/>
        <v>0.74492262517993046</v>
      </c>
      <c r="C280" s="10">
        <f t="shared" ca="1" si="25"/>
        <v>20.492825237738192</v>
      </c>
      <c r="D280" s="9">
        <f t="shared" ca="1" si="26"/>
        <v>0.4756081837716909</v>
      </c>
      <c r="E280" s="10">
        <f t="shared" ca="1" si="27"/>
        <v>6.2522452712051573</v>
      </c>
      <c r="F280" s="9">
        <f t="shared" ca="1" si="28"/>
        <v>0.60852823890826979</v>
      </c>
      <c r="G280" s="10">
        <f t="shared" ca="1" si="29"/>
        <v>3.9168630794174173</v>
      </c>
    </row>
    <row r="281" spans="1:7">
      <c r="A281" s="8">
        <v>276</v>
      </c>
      <c r="B281" s="13">
        <f t="shared" ca="1" si="24"/>
        <v>0.66999822957527566</v>
      </c>
      <c r="C281" s="14">
        <f t="shared" ca="1" si="25"/>
        <v>16.629858894188928</v>
      </c>
      <c r="D281" s="13">
        <f t="shared" ca="1" si="26"/>
        <v>0.66485060070202073</v>
      </c>
      <c r="E281" s="14">
        <f t="shared" ca="1" si="27"/>
        <v>7.4049578722526723</v>
      </c>
      <c r="F281" s="13">
        <f t="shared" ca="1" si="28"/>
        <v>0.71326410232933102</v>
      </c>
      <c r="G281" s="10">
        <f t="shared" ca="1" si="29"/>
        <v>4.6541880806090123</v>
      </c>
    </row>
    <row r="282" spans="1:7">
      <c r="A282" s="8">
        <v>277</v>
      </c>
      <c r="B282" s="9">
        <f t="shared" ca="1" si="24"/>
        <v>0.99666802485763173</v>
      </c>
      <c r="C282" s="10">
        <f t="shared" ca="1" si="25"/>
        <v>85.562850224684965</v>
      </c>
      <c r="D282" s="9">
        <f t="shared" ca="1" si="26"/>
        <v>0.40602835552114291</v>
      </c>
      <c r="E282" s="10">
        <f t="shared" ca="1" si="27"/>
        <v>5.8827936439770161</v>
      </c>
      <c r="F282" s="9">
        <f t="shared" ca="1" si="28"/>
        <v>0.24453489804304074</v>
      </c>
      <c r="G282" s="10">
        <f t="shared" ca="1" si="29"/>
        <v>2.192245920335707</v>
      </c>
    </row>
    <row r="283" spans="1:7">
      <c r="A283" s="8">
        <v>278</v>
      </c>
      <c r="B283" s="13">
        <f t="shared" ca="1" si="24"/>
        <v>0.87806837082761546</v>
      </c>
      <c r="C283" s="14">
        <f t="shared" ca="1" si="25"/>
        <v>31.564422119411514</v>
      </c>
      <c r="D283" s="13">
        <f t="shared" ca="1" si="26"/>
        <v>0.74210089331478735</v>
      </c>
      <c r="E283" s="14">
        <f t="shared" ca="1" si="27"/>
        <v>7.9691633968655591</v>
      </c>
      <c r="F283" s="13">
        <f t="shared" ca="1" si="28"/>
        <v>0.93873945013356608</v>
      </c>
      <c r="G283" s="10">
        <f t="shared" ca="1" si="29"/>
        <v>8.3860243508853038</v>
      </c>
    </row>
    <row r="284" spans="1:7">
      <c r="A284" s="8">
        <v>279</v>
      </c>
      <c r="B284" s="9">
        <f t="shared" ca="1" si="24"/>
        <v>0.14996661781243226</v>
      </c>
      <c r="C284" s="10">
        <f t="shared" ca="1" si="25"/>
        <v>2.437194856606514</v>
      </c>
      <c r="D284" s="9">
        <f t="shared" ca="1" si="26"/>
        <v>0.40217303044527963</v>
      </c>
      <c r="E284" s="10">
        <f t="shared" ca="1" si="27"/>
        <v>5.8629731072817197</v>
      </c>
      <c r="F284" s="9">
        <f t="shared" ca="1" si="28"/>
        <v>0.54830580503237403</v>
      </c>
      <c r="G284" s="10">
        <f t="shared" ca="1" si="29"/>
        <v>3.5709414167872611</v>
      </c>
    </row>
    <row r="285" spans="1:7">
      <c r="A285" s="8">
        <v>280</v>
      </c>
      <c r="B285" s="13">
        <f t="shared" ca="1" si="24"/>
        <v>0.8509887099874609</v>
      </c>
      <c r="C285" s="14">
        <f t="shared" ca="1" si="25"/>
        <v>28.555998060164814</v>
      </c>
      <c r="D285" s="13">
        <f t="shared" ca="1" si="26"/>
        <v>0.66685086924736847</v>
      </c>
      <c r="E285" s="14">
        <f t="shared" ca="1" si="27"/>
        <v>7.4186906634221055</v>
      </c>
      <c r="F285" s="13">
        <f t="shared" ca="1" si="28"/>
        <v>0.1433133725166067</v>
      </c>
      <c r="G285" s="10">
        <f t="shared" ca="1" si="29"/>
        <v>1.7518449914911753</v>
      </c>
    </row>
    <row r="286" spans="1:7">
      <c r="A286" s="8">
        <v>281</v>
      </c>
      <c r="B286" s="9">
        <f t="shared" ca="1" si="24"/>
        <v>0.54868235623745332</v>
      </c>
      <c r="C286" s="10">
        <f t="shared" ca="1" si="25"/>
        <v>11.933758162417408</v>
      </c>
      <c r="D286" s="9">
        <f t="shared" ca="1" si="26"/>
        <v>0.58444381370823262</v>
      </c>
      <c r="E286" s="10">
        <f t="shared" ca="1" si="27"/>
        <v>6.8833565947604534</v>
      </c>
      <c r="F286" s="9">
        <f t="shared" ca="1" si="28"/>
        <v>0.61108366076320475</v>
      </c>
      <c r="G286" s="10">
        <f t="shared" ca="1" si="29"/>
        <v>3.9325447158310531</v>
      </c>
    </row>
    <row r="287" spans="1:7">
      <c r="A287" s="8">
        <v>282</v>
      </c>
      <c r="B287" s="13">
        <f t="shared" ca="1" si="24"/>
        <v>0.295053133443549</v>
      </c>
      <c r="C287" s="14">
        <f t="shared" ca="1" si="25"/>
        <v>5.2444926839499999</v>
      </c>
      <c r="D287" s="13">
        <f t="shared" ca="1" si="26"/>
        <v>0.89582930893799106</v>
      </c>
      <c r="E287" s="14">
        <f t="shared" ca="1" si="27"/>
        <v>9.4382128236509253</v>
      </c>
      <c r="F287" s="13">
        <f t="shared" ca="1" si="28"/>
        <v>0.4204098710970019</v>
      </c>
      <c r="G287" s="10">
        <f t="shared" ca="1" si="29"/>
        <v>2.9431869031001754</v>
      </c>
    </row>
    <row r="288" spans="1:7">
      <c r="A288" s="8">
        <v>283</v>
      </c>
      <c r="B288" s="9">
        <f t="shared" ca="1" si="24"/>
        <v>0.37247549391998414</v>
      </c>
      <c r="C288" s="10">
        <f t="shared" ca="1" si="25"/>
        <v>6.9895883283719575</v>
      </c>
      <c r="D288" s="9">
        <f t="shared" ca="1" si="26"/>
        <v>0.861201605899934</v>
      </c>
      <c r="E288" s="10">
        <f t="shared" ca="1" si="27"/>
        <v>9.0429239393779266</v>
      </c>
      <c r="F288" s="9">
        <f t="shared" ca="1" si="28"/>
        <v>0.46643095054953276</v>
      </c>
      <c r="G288" s="10">
        <f t="shared" ca="1" si="29"/>
        <v>3.1564664713180872</v>
      </c>
    </row>
    <row r="289" spans="1:7">
      <c r="A289" s="8">
        <v>284</v>
      </c>
      <c r="B289" s="13">
        <f t="shared" ca="1" si="24"/>
        <v>0.83641368421505391</v>
      </c>
      <c r="C289" s="14">
        <f t="shared" ca="1" si="25"/>
        <v>27.156217539872536</v>
      </c>
      <c r="D289" s="13">
        <f t="shared" ca="1" si="26"/>
        <v>0.91128544408444001</v>
      </c>
      <c r="E289" s="14">
        <f t="shared" ca="1" si="27"/>
        <v>9.6358898031859255</v>
      </c>
      <c r="F289" s="13">
        <f t="shared" ca="1" si="28"/>
        <v>0.89010139720253023</v>
      </c>
      <c r="G289" s="10">
        <f t="shared" ca="1" si="29"/>
        <v>6.9326388417319418</v>
      </c>
    </row>
    <row r="290" spans="1:7">
      <c r="A290" s="8">
        <v>285</v>
      </c>
      <c r="B290" s="9">
        <f t="shared" ca="1" si="24"/>
        <v>0.86634621099023101</v>
      </c>
      <c r="C290" s="10">
        <f t="shared" ca="1" si="25"/>
        <v>30.187537298364386</v>
      </c>
      <c r="D290" s="9">
        <f t="shared" ca="1" si="26"/>
        <v>7.6899716552079833E-2</v>
      </c>
      <c r="E290" s="10">
        <f t="shared" ca="1" si="27"/>
        <v>4.1765181247806753</v>
      </c>
      <c r="F290" s="9">
        <f t="shared" ca="1" si="28"/>
        <v>0.69376155611008905</v>
      </c>
      <c r="G290" s="10">
        <f t="shared" ca="1" si="29"/>
        <v>4.4993125713788862</v>
      </c>
    </row>
    <row r="291" spans="1:7">
      <c r="A291" s="8">
        <v>286</v>
      </c>
      <c r="B291" s="13">
        <f t="shared" ca="1" si="24"/>
        <v>0.48564262859316198</v>
      </c>
      <c r="C291" s="14">
        <f t="shared" ca="1" si="25"/>
        <v>9.9725547001223482</v>
      </c>
      <c r="D291" s="13">
        <f t="shared" ca="1" si="26"/>
        <v>0.47249320044838816</v>
      </c>
      <c r="E291" s="14">
        <f t="shared" ca="1" si="27"/>
        <v>6.2351991906266582</v>
      </c>
      <c r="F291" s="13">
        <f t="shared" ca="1" si="28"/>
        <v>0.3018498818345916</v>
      </c>
      <c r="G291" s="10">
        <f t="shared" ca="1" si="29"/>
        <v>2.431595274409116</v>
      </c>
    </row>
    <row r="292" spans="1:7">
      <c r="A292" s="8">
        <v>287</v>
      </c>
      <c r="B292" s="9">
        <f t="shared" ca="1" si="24"/>
        <v>0.30842302579961733</v>
      </c>
      <c r="C292" s="10">
        <f t="shared" ca="1" si="25"/>
        <v>5.5317122887343571</v>
      </c>
      <c r="D292" s="9">
        <f t="shared" ca="1" si="26"/>
        <v>0.12309303243118852</v>
      </c>
      <c r="E292" s="10">
        <f t="shared" ca="1" si="27"/>
        <v>4.4885142202079873</v>
      </c>
      <c r="F292" s="9">
        <f t="shared" ca="1" si="28"/>
        <v>0.74403499104698467</v>
      </c>
      <c r="G292" s="10">
        <f t="shared" ca="1" si="29"/>
        <v>4.9209483082305709</v>
      </c>
    </row>
    <row r="293" spans="1:7">
      <c r="A293" s="8">
        <v>288</v>
      </c>
      <c r="B293" s="13">
        <f t="shared" ca="1" si="24"/>
        <v>0.24159074063272712</v>
      </c>
      <c r="C293" s="14">
        <f t="shared" ca="1" si="25"/>
        <v>4.1479817855180325</v>
      </c>
      <c r="D293" s="13">
        <f t="shared" ca="1" si="26"/>
        <v>0.85757569209521112</v>
      </c>
      <c r="E293" s="14">
        <f t="shared" ca="1" si="27"/>
        <v>9.0045482147092244</v>
      </c>
      <c r="F293" s="13">
        <f t="shared" ca="1" si="28"/>
        <v>0.2564090877677615</v>
      </c>
      <c r="G293" s="10">
        <f t="shared" ca="1" si="29"/>
        <v>2.2419062360413156</v>
      </c>
    </row>
    <row r="294" spans="1:7">
      <c r="A294" s="8">
        <v>289</v>
      </c>
      <c r="B294" s="9">
        <f t="shared" ca="1" si="24"/>
        <v>0.62356379632310099</v>
      </c>
      <c r="C294" s="10">
        <f t="shared" ca="1" si="25"/>
        <v>14.655100377675438</v>
      </c>
      <c r="D294" s="9">
        <f t="shared" ca="1" si="26"/>
        <v>0.88528551235472208</v>
      </c>
      <c r="E294" s="10">
        <f t="shared" ca="1" si="27"/>
        <v>9.3116896158269764</v>
      </c>
      <c r="F294" s="9">
        <f t="shared" ca="1" si="28"/>
        <v>0.85259133464490544</v>
      </c>
      <c r="G294" s="10">
        <f t="shared" ca="1" si="29"/>
        <v>6.2249617549921261</v>
      </c>
    </row>
    <row r="295" spans="1:7">
      <c r="A295" s="8">
        <v>290</v>
      </c>
      <c r="B295" s="13">
        <f t="shared" ca="1" si="24"/>
        <v>8.6272240265574118E-2</v>
      </c>
      <c r="C295" s="14">
        <f t="shared" ca="1" si="25"/>
        <v>1.3533391164943258</v>
      </c>
      <c r="D295" s="13">
        <f t="shared" ca="1" si="26"/>
        <v>0.25857817493847979</v>
      </c>
      <c r="E295" s="14">
        <f t="shared" ca="1" si="27"/>
        <v>5.1655596440618661</v>
      </c>
      <c r="F295" s="13">
        <f t="shared" ca="1" si="28"/>
        <v>9.5230435289608062E-2</v>
      </c>
      <c r="G295" s="10">
        <f t="shared" ca="1" si="29"/>
        <v>1.5135680751509748</v>
      </c>
    </row>
    <row r="296" spans="1:7">
      <c r="A296" s="8">
        <v>291</v>
      </c>
      <c r="B296" s="9">
        <f t="shared" ca="1" si="24"/>
        <v>0.23054046667013561</v>
      </c>
      <c r="C296" s="10">
        <f t="shared" ca="1" si="25"/>
        <v>3.9310037302694685</v>
      </c>
      <c r="D296" s="9">
        <f t="shared" ca="1" si="26"/>
        <v>0.44354940831002321</v>
      </c>
      <c r="E296" s="10">
        <f t="shared" ca="1" si="27"/>
        <v>6.0791565401145302</v>
      </c>
      <c r="F296" s="9">
        <f t="shared" ca="1" si="28"/>
        <v>0.56067516703739306</v>
      </c>
      <c r="G296" s="10">
        <f t="shared" ca="1" si="29"/>
        <v>3.6386354542059545</v>
      </c>
    </row>
    <row r="297" spans="1:7">
      <c r="A297" s="8">
        <v>292</v>
      </c>
      <c r="B297" s="13">
        <f t="shared" ca="1" si="24"/>
        <v>0.32717512213803135</v>
      </c>
      <c r="C297" s="14">
        <f t="shared" ca="1" si="25"/>
        <v>5.9440529159828808</v>
      </c>
      <c r="D297" s="13">
        <f t="shared" ca="1" si="26"/>
        <v>0.18083493602735035</v>
      </c>
      <c r="E297" s="14">
        <f t="shared" ca="1" si="27"/>
        <v>4.8041698502337038</v>
      </c>
      <c r="F297" s="13">
        <f t="shared" ca="1" si="28"/>
        <v>0.22955746091700679</v>
      </c>
      <c r="G297" s="10">
        <f t="shared" ca="1" si="29"/>
        <v>2.1293504376563051</v>
      </c>
    </row>
    <row r="298" spans="1:7">
      <c r="A298" s="8">
        <v>293</v>
      </c>
      <c r="B298" s="9">
        <f t="shared" ca="1" si="24"/>
        <v>0.9437517310517568</v>
      </c>
      <c r="C298" s="10">
        <f t="shared" ca="1" si="25"/>
        <v>43.169700189368982</v>
      </c>
      <c r="D298" s="9">
        <f t="shared" ca="1" si="26"/>
        <v>0.37598581307255918</v>
      </c>
      <c r="E298" s="10">
        <f t="shared" ca="1" si="27"/>
        <v>5.7300004962975661</v>
      </c>
      <c r="F298" s="9">
        <f t="shared" ca="1" si="28"/>
        <v>0.86921669953519742</v>
      </c>
      <c r="G298" s="10">
        <f t="shared" ca="1" si="29"/>
        <v>6.5118112113373368</v>
      </c>
    </row>
    <row r="299" spans="1:7">
      <c r="A299" s="8">
        <v>294</v>
      </c>
      <c r="B299" s="13">
        <f t="shared" ca="1" si="24"/>
        <v>0.5603659992646941</v>
      </c>
      <c r="C299" s="14">
        <f t="shared" ca="1" si="25"/>
        <v>12.327190720977329</v>
      </c>
      <c r="D299" s="13">
        <f t="shared" ca="1" si="26"/>
        <v>0.77814128994503085</v>
      </c>
      <c r="E299" s="14">
        <f t="shared" ca="1" si="27"/>
        <v>8.2614041762363435</v>
      </c>
      <c r="F299" s="13">
        <f t="shared" ca="1" si="28"/>
        <v>0.13402395664798383</v>
      </c>
      <c r="G299" s="10">
        <f t="shared" ca="1" si="29"/>
        <v>1.7082312574366552</v>
      </c>
    </row>
    <row r="300" spans="1:7">
      <c r="A300" s="8">
        <v>295</v>
      </c>
      <c r="B300" s="9">
        <f t="shared" ca="1" si="24"/>
        <v>0.49904620230502916</v>
      </c>
      <c r="C300" s="10">
        <f t="shared" ca="1" si="25"/>
        <v>10.368621034792987</v>
      </c>
      <c r="D300" s="9">
        <f t="shared" ca="1" si="26"/>
        <v>0.43065799772182856</v>
      </c>
      <c r="E300" s="10">
        <f t="shared" ca="1" si="27"/>
        <v>6.010964506406328</v>
      </c>
      <c r="F300" s="9">
        <f t="shared" ca="1" si="28"/>
        <v>0.6812506156414222</v>
      </c>
      <c r="G300" s="10">
        <f t="shared" ca="1" si="29"/>
        <v>4.4049076121364692</v>
      </c>
    </row>
    <row r="301" spans="1:7">
      <c r="A301" s="8">
        <v>296</v>
      </c>
      <c r="B301" s="13">
        <f t="shared" ca="1" si="24"/>
        <v>0.73103797425036521</v>
      </c>
      <c r="C301" s="14">
        <f t="shared" ca="1" si="25"/>
        <v>19.697776163436593</v>
      </c>
      <c r="D301" s="13">
        <f t="shared" ca="1" si="26"/>
        <v>0.59900115874296023</v>
      </c>
      <c r="E301" s="14">
        <f t="shared" ca="1" si="27"/>
        <v>6.9737760695335602</v>
      </c>
      <c r="F301" s="13">
        <f t="shared" ca="1" si="28"/>
        <v>0.41187536581929485</v>
      </c>
      <c r="G301" s="10">
        <f t="shared" ca="1" si="29"/>
        <v>2.904803994913606</v>
      </c>
    </row>
    <row r="302" spans="1:7">
      <c r="A302" s="8">
        <v>297</v>
      </c>
      <c r="B302" s="9">
        <f t="shared" ca="1" si="24"/>
        <v>0.17203246453941923</v>
      </c>
      <c r="C302" s="10">
        <f t="shared" ca="1" si="25"/>
        <v>2.8317200061973069</v>
      </c>
      <c r="D302" s="9">
        <f t="shared" ca="1" si="26"/>
        <v>0.95891869130648377</v>
      </c>
      <c r="E302" s="10">
        <f t="shared" ca="1" si="27"/>
        <v>10.391235738931424</v>
      </c>
      <c r="F302" s="9">
        <f t="shared" ca="1" si="28"/>
        <v>0.62410993893847599</v>
      </c>
      <c r="G302" s="10">
        <f t="shared" ca="1" si="29"/>
        <v>4.0139500299493918</v>
      </c>
    </row>
    <row r="303" spans="1:7">
      <c r="A303" s="8">
        <v>298</v>
      </c>
      <c r="B303" s="13">
        <f t="shared" ca="1" si="24"/>
        <v>3.0504572407146768E-2</v>
      </c>
      <c r="C303" s="14">
        <f t="shared" ca="1" si="25"/>
        <v>0.46469280845116617</v>
      </c>
      <c r="D303" s="13">
        <f t="shared" ca="1" si="26"/>
        <v>0.36424502319556307</v>
      </c>
      <c r="E303" s="14">
        <f t="shared" ca="1" si="27"/>
        <v>5.6712905313421498</v>
      </c>
      <c r="F303" s="13">
        <f t="shared" ca="1" si="28"/>
        <v>0.13490503081197447</v>
      </c>
      <c r="G303" s="10">
        <f t="shared" ca="1" si="29"/>
        <v>1.7124069580744263</v>
      </c>
    </row>
    <row r="304" spans="1:7">
      <c r="A304" s="8">
        <v>299</v>
      </c>
      <c r="B304" s="9">
        <f t="shared" ca="1" si="24"/>
        <v>0.94885281224398976</v>
      </c>
      <c r="C304" s="10">
        <f t="shared" ca="1" si="25"/>
        <v>44.595716526421967</v>
      </c>
      <c r="D304" s="9">
        <f t="shared" ca="1" si="26"/>
        <v>0.67426717713717699</v>
      </c>
      <c r="E304" s="10">
        <f t="shared" ca="1" si="27"/>
        <v>7.4699704371430586</v>
      </c>
      <c r="F304" s="9">
        <f t="shared" ca="1" si="28"/>
        <v>0.71147270076566882</v>
      </c>
      <c r="G304" s="10">
        <f t="shared" ca="1" si="29"/>
        <v>4.6395403927379428</v>
      </c>
    </row>
    <row r="305" spans="1:7">
      <c r="A305" s="8">
        <v>300</v>
      </c>
      <c r="B305" s="13">
        <f t="shared" ca="1" si="24"/>
        <v>0.91279783721091134</v>
      </c>
      <c r="C305" s="14">
        <f t="shared" ca="1" si="25"/>
        <v>36.592892186214293</v>
      </c>
      <c r="D305" s="13">
        <f t="shared" ca="1" si="26"/>
        <v>0.53503282114562289</v>
      </c>
      <c r="E305" s="14">
        <f t="shared" ca="1" si="27"/>
        <v>6.587705452599077</v>
      </c>
      <c r="F305" s="13">
        <f t="shared" ca="1" si="28"/>
        <v>0.58300538105256927</v>
      </c>
      <c r="G305" s="10">
        <f t="shared" ca="1" si="29"/>
        <v>3.765018618596665</v>
      </c>
    </row>
    <row r="306" spans="1:7">
      <c r="A306" s="8">
        <v>301</v>
      </c>
      <c r="B306" s="9">
        <f t="shared" ca="1" si="24"/>
        <v>0.80778502995764245</v>
      </c>
      <c r="C306" s="10">
        <f t="shared" ca="1" si="25"/>
        <v>24.737113464623953</v>
      </c>
      <c r="D306" s="9">
        <f t="shared" ca="1" si="26"/>
        <v>0.18411067975093587</v>
      </c>
      <c r="E306" s="10">
        <f t="shared" ca="1" si="27"/>
        <v>4.8204373747857536</v>
      </c>
      <c r="F306" s="9">
        <f t="shared" ca="1" si="28"/>
        <v>0.57649139103495961</v>
      </c>
      <c r="G306" s="10">
        <f t="shared" ca="1" si="29"/>
        <v>3.7275656269299957</v>
      </c>
    </row>
    <row r="307" spans="1:7">
      <c r="A307" s="8">
        <v>302</v>
      </c>
      <c r="B307" s="13">
        <f t="shared" ca="1" si="24"/>
        <v>0.86836068077058348</v>
      </c>
      <c r="C307" s="14">
        <f t="shared" ca="1" si="25"/>
        <v>30.415342895658728</v>
      </c>
      <c r="D307" s="13">
        <f t="shared" ca="1" si="26"/>
        <v>0.93516545594271017</v>
      </c>
      <c r="E307" s="14">
        <f t="shared" ca="1" si="27"/>
        <v>9.9789665327834722</v>
      </c>
      <c r="F307" s="13">
        <f t="shared" ca="1" si="28"/>
        <v>0.89883844945458402</v>
      </c>
      <c r="G307" s="10">
        <f t="shared" ca="1" si="29"/>
        <v>7.1347449728334817</v>
      </c>
    </row>
    <row r="308" spans="1:7">
      <c r="A308" s="8">
        <v>303</v>
      </c>
      <c r="B308" s="9">
        <f t="shared" ca="1" si="24"/>
        <v>3.4297265912415775E-2</v>
      </c>
      <c r="C308" s="10">
        <f t="shared" ca="1" si="25"/>
        <v>0.52348831223412917</v>
      </c>
      <c r="D308" s="9">
        <f t="shared" ca="1" si="26"/>
        <v>0.59402391469865057</v>
      </c>
      <c r="E308" s="10">
        <f t="shared" ca="1" si="27"/>
        <v>6.9426792296725912</v>
      </c>
      <c r="F308" s="9">
        <f t="shared" ca="1" si="28"/>
        <v>0.31462064594715944</v>
      </c>
      <c r="G308" s="10">
        <f t="shared" ca="1" si="29"/>
        <v>2.4851250793091926</v>
      </c>
    </row>
    <row r="309" spans="1:7">
      <c r="A309" s="8">
        <v>304</v>
      </c>
      <c r="B309" s="13">
        <f t="shared" ca="1" si="24"/>
        <v>0.80150506776219876</v>
      </c>
      <c r="C309" s="14">
        <f t="shared" ca="1" si="25"/>
        <v>24.254875642034254</v>
      </c>
      <c r="D309" s="13">
        <f t="shared" ca="1" si="26"/>
        <v>1.0421340678816615E-2</v>
      </c>
      <c r="E309" s="14">
        <f t="shared" ca="1" si="27"/>
        <v>3.4331098385152421</v>
      </c>
      <c r="F309" s="13">
        <f t="shared" ca="1" si="28"/>
        <v>0.6096836134110728</v>
      </c>
      <c r="G309" s="10">
        <f t="shared" ca="1" si="29"/>
        <v>3.9239418023905008</v>
      </c>
    </row>
    <row r="310" spans="1:7">
      <c r="A310" s="8">
        <v>305</v>
      </c>
      <c r="B310" s="9">
        <f t="shared" ca="1" si="24"/>
        <v>0.36469523074489296</v>
      </c>
      <c r="C310" s="10">
        <f t="shared" ca="1" si="25"/>
        <v>6.8047566546978153</v>
      </c>
      <c r="D310" s="9">
        <f t="shared" ca="1" si="26"/>
        <v>0.27479213263302438</v>
      </c>
      <c r="E310" s="10">
        <f t="shared" ca="1" si="27"/>
        <v>5.2407030214585584</v>
      </c>
      <c r="F310" s="9">
        <f t="shared" ca="1" si="28"/>
        <v>0.43094244469487364</v>
      </c>
      <c r="G310" s="10">
        <f t="shared" ca="1" si="29"/>
        <v>2.9910210930659193</v>
      </c>
    </row>
    <row r="311" spans="1:7">
      <c r="A311" s="8">
        <v>306</v>
      </c>
      <c r="B311" s="13">
        <f t="shared" ca="1" si="24"/>
        <v>0.15129693451147452</v>
      </c>
      <c r="C311" s="14">
        <f t="shared" ca="1" si="25"/>
        <v>2.4606885004760035</v>
      </c>
      <c r="D311" s="13">
        <f t="shared" ca="1" si="26"/>
        <v>0.23055295163352474</v>
      </c>
      <c r="E311" s="14">
        <f t="shared" ca="1" si="27"/>
        <v>5.0375892072438058</v>
      </c>
      <c r="F311" s="13">
        <f t="shared" ca="1" si="28"/>
        <v>0.29358138377644871</v>
      </c>
      <c r="G311" s="10">
        <f t="shared" ca="1" si="29"/>
        <v>2.3970258188370055</v>
      </c>
    </row>
    <row r="312" spans="1:7">
      <c r="A312" s="8">
        <v>307</v>
      </c>
      <c r="B312" s="9">
        <f t="shared" ca="1" si="24"/>
        <v>0.86392185292492762</v>
      </c>
      <c r="C312" s="10">
        <f t="shared" ca="1" si="25"/>
        <v>29.917889211383446</v>
      </c>
      <c r="D312" s="9">
        <f t="shared" ca="1" si="26"/>
        <v>3.5247454014364243E-2</v>
      </c>
      <c r="E312" s="10">
        <f t="shared" ca="1" si="27"/>
        <v>3.7965263161117506</v>
      </c>
      <c r="F312" s="9">
        <f t="shared" ca="1" si="28"/>
        <v>0.11511183145927617</v>
      </c>
      <c r="G312" s="10">
        <f t="shared" ca="1" si="29"/>
        <v>1.6162849155375618</v>
      </c>
    </row>
    <row r="313" spans="1:7">
      <c r="A313" s="8">
        <v>308</v>
      </c>
      <c r="B313" s="13">
        <f t="shared" ca="1" si="24"/>
        <v>0.35221447992505861</v>
      </c>
      <c r="C313" s="14">
        <f t="shared" ca="1" si="25"/>
        <v>6.512934374354975</v>
      </c>
      <c r="D313" s="13">
        <f t="shared" ca="1" si="26"/>
        <v>0.17826593658803258</v>
      </c>
      <c r="E313" s="14">
        <f t="shared" ca="1" si="27"/>
        <v>4.7913086999689884</v>
      </c>
      <c r="F313" s="13">
        <f t="shared" ca="1" si="28"/>
        <v>0.33061622797860579</v>
      </c>
      <c r="G313" s="10">
        <f t="shared" ca="1" si="29"/>
        <v>2.5524984710911958</v>
      </c>
    </row>
    <row r="314" spans="1:7">
      <c r="A314" s="8">
        <v>309</v>
      </c>
      <c r="B314" s="9">
        <f t="shared" ca="1" si="24"/>
        <v>0.32632730703442492</v>
      </c>
      <c r="C314" s="10">
        <f t="shared" ca="1" si="25"/>
        <v>5.9251635714935738</v>
      </c>
      <c r="D314" s="9">
        <f t="shared" ca="1" si="26"/>
        <v>0.37860596061550456</v>
      </c>
      <c r="E314" s="10">
        <f t="shared" ca="1" si="27"/>
        <v>5.7431777649334474</v>
      </c>
      <c r="F314" s="9">
        <f t="shared" ca="1" si="28"/>
        <v>0.86475915491634414</v>
      </c>
      <c r="G314" s="10">
        <f t="shared" ca="1" si="29"/>
        <v>6.4312722017866699</v>
      </c>
    </row>
    <row r="315" spans="1:7">
      <c r="A315" s="8">
        <v>310</v>
      </c>
      <c r="B315" s="13">
        <f t="shared" ca="1" si="24"/>
        <v>0.96848833553791391</v>
      </c>
      <c r="C315" s="14">
        <f t="shared" ca="1" si="25"/>
        <v>51.860962519666963</v>
      </c>
      <c r="D315" s="13">
        <f t="shared" ca="1" si="26"/>
        <v>0.83544454822799175</v>
      </c>
      <c r="E315" s="14">
        <f t="shared" ca="1" si="27"/>
        <v>8.7802184139857378</v>
      </c>
      <c r="F315" s="13">
        <f t="shared" ca="1" si="28"/>
        <v>0.27667637131679301</v>
      </c>
      <c r="G315" s="10">
        <f t="shared" ca="1" si="29"/>
        <v>2.3264740225453653</v>
      </c>
    </row>
    <row r="316" spans="1:7">
      <c r="A316" s="8">
        <v>311</v>
      </c>
      <c r="B316" s="9">
        <f t="shared" ca="1" si="24"/>
        <v>0.61067475170570751</v>
      </c>
      <c r="C316" s="10">
        <f t="shared" ca="1" si="25"/>
        <v>14.150102562676468</v>
      </c>
      <c r="D316" s="9">
        <f t="shared" ca="1" si="26"/>
        <v>0.80597141722769217</v>
      </c>
      <c r="E316" s="10">
        <f t="shared" ca="1" si="27"/>
        <v>8.5037447583656895</v>
      </c>
      <c r="F316" s="9">
        <f t="shared" ca="1" si="28"/>
        <v>7.5714924625893243E-2</v>
      </c>
      <c r="G316" s="10">
        <f t="shared" ca="1" si="29"/>
        <v>1.4039651217393228</v>
      </c>
    </row>
    <row r="317" spans="1:7">
      <c r="A317" s="8">
        <v>312</v>
      </c>
      <c r="B317" s="13">
        <f t="shared" ca="1" si="24"/>
        <v>0.70108615892118697</v>
      </c>
      <c r="C317" s="14">
        <f t="shared" ca="1" si="25"/>
        <v>18.113998560655229</v>
      </c>
      <c r="D317" s="13">
        <f t="shared" ca="1" si="26"/>
        <v>0.28556274921136959</v>
      </c>
      <c r="E317" s="14">
        <f t="shared" ca="1" si="27"/>
        <v>5.291084528801715</v>
      </c>
      <c r="F317" s="13">
        <f t="shared" ca="1" si="28"/>
        <v>6.2430901842856934E-2</v>
      </c>
      <c r="G317" s="10">
        <f t="shared" ca="1" si="29"/>
        <v>1.3220590661541207</v>
      </c>
    </row>
    <row r="318" spans="1:7">
      <c r="A318" s="8">
        <v>313</v>
      </c>
      <c r="B318" s="9">
        <f t="shared" ca="1" si="24"/>
        <v>4.1332191422205344E-3</v>
      </c>
      <c r="C318" s="10">
        <f t="shared" ca="1" si="25"/>
        <v>6.2126767534199864E-2</v>
      </c>
      <c r="D318" s="9">
        <f t="shared" ca="1" si="26"/>
        <v>0.52999735714049445</v>
      </c>
      <c r="E318" s="10">
        <f t="shared" ca="1" si="27"/>
        <v>6.558477556772476</v>
      </c>
      <c r="F318" s="9">
        <f t="shared" ca="1" si="28"/>
        <v>6.1382719904150895E-2</v>
      </c>
      <c r="G318" s="10">
        <f t="shared" ca="1" si="29"/>
        <v>1.3152653034695256</v>
      </c>
    </row>
    <row r="319" spans="1:7">
      <c r="A319" s="8">
        <v>314</v>
      </c>
      <c r="B319" s="13">
        <f t="shared" ca="1" si="24"/>
        <v>0.57739353275754068</v>
      </c>
      <c r="C319" s="14">
        <f t="shared" ca="1" si="25"/>
        <v>12.919708056849815</v>
      </c>
      <c r="D319" s="13">
        <f t="shared" ca="1" si="26"/>
        <v>0.78870354158112121</v>
      </c>
      <c r="E319" s="14">
        <f t="shared" ca="1" si="27"/>
        <v>8.3514829203648553</v>
      </c>
      <c r="F319" s="13">
        <f t="shared" ca="1" si="28"/>
        <v>0.22929773725694313</v>
      </c>
      <c r="G319" s="10">
        <f t="shared" ca="1" si="29"/>
        <v>2.1282563959700433</v>
      </c>
    </row>
    <row r="320" spans="1:7">
      <c r="A320" s="8">
        <v>315</v>
      </c>
      <c r="B320" s="9">
        <f t="shared" ca="1" si="24"/>
        <v>0.59423283381001057</v>
      </c>
      <c r="C320" s="10">
        <f t="shared" ca="1" si="25"/>
        <v>13.529636492624043</v>
      </c>
      <c r="D320" s="9">
        <f t="shared" ca="1" si="26"/>
        <v>0.85380913718065155</v>
      </c>
      <c r="E320" s="10">
        <f t="shared" ca="1" si="27"/>
        <v>8.9651978058497868</v>
      </c>
      <c r="F320" s="9">
        <f t="shared" ca="1" si="28"/>
        <v>0.46700397346685396</v>
      </c>
      <c r="G320" s="10">
        <f t="shared" ca="1" si="29"/>
        <v>3.1591974422423159</v>
      </c>
    </row>
    <row r="321" spans="1:7">
      <c r="A321" s="8">
        <v>316</v>
      </c>
      <c r="B321" s="13">
        <f t="shared" ca="1" si="24"/>
        <v>5.9107956652098559E-2</v>
      </c>
      <c r="C321" s="14">
        <f t="shared" ca="1" si="25"/>
        <v>0.91390307148154504</v>
      </c>
      <c r="D321" s="13">
        <f t="shared" ca="1" si="26"/>
        <v>0.51507443250213647</v>
      </c>
      <c r="E321" s="14">
        <f t="shared" ca="1" si="27"/>
        <v>6.4727664467325612</v>
      </c>
      <c r="F321" s="13">
        <f t="shared" ca="1" si="28"/>
        <v>0.84085008846321829</v>
      </c>
      <c r="G321" s="10">
        <f t="shared" ca="1" si="29"/>
        <v>6.0422392438527401</v>
      </c>
    </row>
    <row r="322" spans="1:7">
      <c r="A322" s="8">
        <v>317</v>
      </c>
      <c r="B322" s="9">
        <f t="shared" ca="1" si="24"/>
        <v>0.30501152008240839</v>
      </c>
      <c r="C322" s="10">
        <f t="shared" ca="1" si="25"/>
        <v>5.4579001381929633</v>
      </c>
      <c r="D322" s="9">
        <f t="shared" ca="1" si="26"/>
        <v>0.93935794103008208</v>
      </c>
      <c r="E322" s="10">
        <f t="shared" ca="1" si="27"/>
        <v>10.045402927684371</v>
      </c>
      <c r="F322" s="9">
        <f t="shared" ca="1" si="28"/>
        <v>0.15998081501592554</v>
      </c>
      <c r="G322" s="10">
        <f t="shared" ca="1" si="29"/>
        <v>1.8281014303973919</v>
      </c>
    </row>
    <row r="323" spans="1:7">
      <c r="A323" s="8">
        <v>318</v>
      </c>
      <c r="B323" s="13">
        <f t="shared" ca="1" si="24"/>
        <v>0.11051436578723595</v>
      </c>
      <c r="C323" s="14">
        <f t="shared" ca="1" si="25"/>
        <v>1.7566788362085288</v>
      </c>
      <c r="D323" s="13">
        <f t="shared" ca="1" si="26"/>
        <v>0.47750406980537041</v>
      </c>
      <c r="E323" s="14">
        <f t="shared" ca="1" si="27"/>
        <v>6.2626448948786804</v>
      </c>
      <c r="F323" s="13">
        <f t="shared" ca="1" si="28"/>
        <v>0.76278503067797743</v>
      </c>
      <c r="G323" s="10">
        <f t="shared" ca="1" si="29"/>
        <v>5.0996603009323795</v>
      </c>
    </row>
    <row r="324" spans="1:7">
      <c r="A324" s="8">
        <v>319</v>
      </c>
      <c r="B324" s="9">
        <f t="shared" ca="1" si="24"/>
        <v>0.96893623453426947</v>
      </c>
      <c r="C324" s="10">
        <f t="shared" ca="1" si="25"/>
        <v>52.075698549235511</v>
      </c>
      <c r="D324" s="9">
        <f t="shared" ca="1" si="26"/>
        <v>0.37235643480829839</v>
      </c>
      <c r="E324" s="10">
        <f t="shared" ca="1" si="27"/>
        <v>5.7117932121250021</v>
      </c>
      <c r="F324" s="9">
        <f t="shared" ca="1" si="28"/>
        <v>0.43205373507036404</v>
      </c>
      <c r="G324" s="10">
        <f t="shared" ca="1" si="29"/>
        <v>2.9960994460307826</v>
      </c>
    </row>
    <row r="325" spans="1:7">
      <c r="A325" s="8">
        <v>320</v>
      </c>
      <c r="B325" s="13">
        <f t="shared" ca="1" si="24"/>
        <v>0.51167908976694554</v>
      </c>
      <c r="C325" s="14">
        <f t="shared" ca="1" si="25"/>
        <v>10.751737294777037</v>
      </c>
      <c r="D325" s="13">
        <f t="shared" ca="1" si="26"/>
        <v>7.7414623543423655E-3</v>
      </c>
      <c r="E325" s="14">
        <f t="shared" ca="1" si="27"/>
        <v>3.3732912031888276</v>
      </c>
      <c r="F325" s="13">
        <f t="shared" ca="1" si="28"/>
        <v>0.64968978187414961</v>
      </c>
      <c r="G325" s="10">
        <f t="shared" ca="1" si="29"/>
        <v>4.1815828467892118</v>
      </c>
    </row>
    <row r="326" spans="1:7">
      <c r="A326" s="8">
        <v>321</v>
      </c>
      <c r="B326" s="9">
        <f t="shared" ref="B326:B389" ca="1" si="30">RAND()</f>
        <v>0.36504683550079775</v>
      </c>
      <c r="C326" s="10">
        <f t="shared" ref="C326:C389" ca="1" si="31">-$J$6 * LN(1 - B326)</f>
        <v>6.8130605925566075</v>
      </c>
      <c r="D326" s="9">
        <f t="shared" ref="D326:D389" ca="1" si="32">RAND()</f>
        <v>0.26119379283243704</v>
      </c>
      <c r="E326" s="10">
        <f t="shared" ref="E326:E389" ca="1" si="33">IF(D326&lt;=$N$9, $N$6+SQRT(D326*($N$8-$N$6)*($N$7-$N$6)), $N$8-SQRT((1-D326)*($N$8-$N$6)*($N$8-$N$7)))</f>
        <v>5.1776257027661936</v>
      </c>
      <c r="F326" s="9">
        <f t="shared" ref="F326:F389" ca="1" si="34">RAND()</f>
        <v>0.3891492766068787</v>
      </c>
      <c r="G326" s="10">
        <f t="shared" ca="1" si="29"/>
        <v>2.8040864507500802</v>
      </c>
    </row>
    <row r="327" spans="1:7">
      <c r="A327" s="8">
        <v>322</v>
      </c>
      <c r="B327" s="13">
        <f t="shared" ca="1" si="30"/>
        <v>0.36407831811163927</v>
      </c>
      <c r="C327" s="14">
        <f t="shared" ca="1" si="31"/>
        <v>6.7901979736431315</v>
      </c>
      <c r="D327" s="13">
        <f t="shared" ca="1" si="32"/>
        <v>0.30143031516173524</v>
      </c>
      <c r="E327" s="14">
        <f t="shared" ca="1" si="33"/>
        <v>5.3660049634620099</v>
      </c>
      <c r="F327" s="13">
        <f t="shared" ca="1" si="34"/>
        <v>0.83028294094842925</v>
      </c>
      <c r="G327" s="10">
        <f t="shared" ref="G327:G390" ca="1" si="35">_xlfn.LOGNORM.INV(F327, $R$6, $R$7)</f>
        <v>5.8894957004420831</v>
      </c>
    </row>
    <row r="328" spans="1:7">
      <c r="A328" s="8">
        <v>323</v>
      </c>
      <c r="B328" s="9">
        <f t="shared" ca="1" si="30"/>
        <v>5.4031764058034226E-2</v>
      </c>
      <c r="C328" s="10">
        <f t="shared" ca="1" si="31"/>
        <v>0.8331943158352878</v>
      </c>
      <c r="D328" s="9">
        <f t="shared" ca="1" si="32"/>
        <v>0.68276139687575632</v>
      </c>
      <c r="E328" s="10">
        <f t="shared" ca="1" si="33"/>
        <v>7.5294259879935606</v>
      </c>
      <c r="F328" s="9">
        <f t="shared" ca="1" si="34"/>
        <v>3.3966038565893086E-2</v>
      </c>
      <c r="G328" s="10">
        <f t="shared" ca="1" si="35"/>
        <v>1.1104060187610016</v>
      </c>
    </row>
    <row r="329" spans="1:7">
      <c r="A329" s="8">
        <v>324</v>
      </c>
      <c r="B329" s="13">
        <f t="shared" ca="1" si="30"/>
        <v>1.7802797620160904E-2</v>
      </c>
      <c r="C329" s="14">
        <f t="shared" ca="1" si="31"/>
        <v>0.26944760551966296</v>
      </c>
      <c r="D329" s="13">
        <f t="shared" ca="1" si="32"/>
        <v>0.28041599182257448</v>
      </c>
      <c r="E329" s="14">
        <f t="shared" ca="1" si="33"/>
        <v>5.2669626085118315</v>
      </c>
      <c r="F329" s="13">
        <f t="shared" ca="1" si="34"/>
        <v>0.29543641568186874</v>
      </c>
      <c r="G329" s="10">
        <f t="shared" ca="1" si="35"/>
        <v>2.4047766525669361</v>
      </c>
    </row>
    <row r="330" spans="1:7">
      <c r="A330" s="8">
        <v>325</v>
      </c>
      <c r="B330" s="9">
        <f t="shared" ca="1" si="30"/>
        <v>0.24074715317313111</v>
      </c>
      <c r="C330" s="10">
        <f t="shared" ca="1" si="31"/>
        <v>4.1313063830743761</v>
      </c>
      <c r="D330" s="9">
        <f t="shared" ca="1" si="32"/>
        <v>0.68821676401767473</v>
      </c>
      <c r="E330" s="10">
        <f t="shared" ca="1" si="33"/>
        <v>7.5680316035776505</v>
      </c>
      <c r="F330" s="9">
        <f t="shared" ca="1" si="34"/>
        <v>1.6041883233592125E-2</v>
      </c>
      <c r="G330" s="10">
        <f t="shared" ca="1" si="35"/>
        <v>0.91757655866948107</v>
      </c>
    </row>
    <row r="331" spans="1:7">
      <c r="A331" s="8">
        <v>326</v>
      </c>
      <c r="B331" s="13">
        <f t="shared" ca="1" si="30"/>
        <v>0.2198594703001665</v>
      </c>
      <c r="C331" s="14">
        <f t="shared" ca="1" si="31"/>
        <v>3.7242181386698587</v>
      </c>
      <c r="D331" s="13">
        <f t="shared" ca="1" si="32"/>
        <v>0.63282104063906874</v>
      </c>
      <c r="E331" s="14">
        <f t="shared" ca="1" si="33"/>
        <v>7.1903976838267942</v>
      </c>
      <c r="F331" s="13">
        <f t="shared" ca="1" si="34"/>
        <v>0.97827632179719493</v>
      </c>
      <c r="G331" s="10">
        <f t="shared" ca="1" si="35"/>
        <v>11.152126623939719</v>
      </c>
    </row>
    <row r="332" spans="1:7">
      <c r="A332" s="8">
        <v>327</v>
      </c>
      <c r="B332" s="9">
        <f t="shared" ca="1" si="30"/>
        <v>0.89073861100614449</v>
      </c>
      <c r="C332" s="10">
        <f t="shared" ca="1" si="31"/>
        <v>33.210183050346622</v>
      </c>
      <c r="D332" s="9">
        <f t="shared" ca="1" si="32"/>
        <v>0.50944226601099396</v>
      </c>
      <c r="E332" s="10">
        <f t="shared" ca="1" si="33"/>
        <v>6.440761091542532</v>
      </c>
      <c r="F332" s="9">
        <f t="shared" ca="1" si="34"/>
        <v>0.69276494408546396</v>
      </c>
      <c r="G332" s="10">
        <f t="shared" ca="1" si="35"/>
        <v>4.4916575112640391</v>
      </c>
    </row>
    <row r="333" spans="1:7">
      <c r="A333" s="8">
        <v>328</v>
      </c>
      <c r="B333" s="13">
        <f t="shared" ca="1" si="30"/>
        <v>0.1663545792356117</v>
      </c>
      <c r="C333" s="14">
        <f t="shared" ca="1" si="31"/>
        <v>2.7292068297922727</v>
      </c>
      <c r="D333" s="13">
        <f t="shared" ca="1" si="32"/>
        <v>0.66946810700499104</v>
      </c>
      <c r="E333" s="14">
        <f t="shared" ca="1" si="33"/>
        <v>7.4367216544806771</v>
      </c>
      <c r="F333" s="13">
        <f t="shared" ca="1" si="34"/>
        <v>0.88486037603866963</v>
      </c>
      <c r="G333" s="10">
        <f t="shared" ca="1" si="35"/>
        <v>6.8194846345657467</v>
      </c>
    </row>
    <row r="334" spans="1:7">
      <c r="A334" s="8">
        <v>329</v>
      </c>
      <c r="B334" s="9">
        <f t="shared" ca="1" si="30"/>
        <v>0.94494432130642936</v>
      </c>
      <c r="C334" s="10">
        <f t="shared" ca="1" si="31"/>
        <v>43.491153989055285</v>
      </c>
      <c r="D334" s="9">
        <f t="shared" ca="1" si="32"/>
        <v>0.82574613388411677</v>
      </c>
      <c r="E334" s="10">
        <f t="shared" ca="1" si="33"/>
        <v>8.6866944654468341</v>
      </c>
      <c r="F334" s="9">
        <f t="shared" ca="1" si="34"/>
        <v>0.98164684574659078</v>
      </c>
      <c r="G334" s="10">
        <f t="shared" ca="1" si="35"/>
        <v>11.62792379871928</v>
      </c>
    </row>
    <row r="335" spans="1:7">
      <c r="A335" s="8">
        <v>330</v>
      </c>
      <c r="B335" s="13">
        <f t="shared" ca="1" si="30"/>
        <v>2.7063898681059073E-2</v>
      </c>
      <c r="C335" s="14">
        <f t="shared" ca="1" si="31"/>
        <v>0.41155306159237481</v>
      </c>
      <c r="D335" s="13">
        <f t="shared" ca="1" si="32"/>
        <v>0.88328538897052011</v>
      </c>
      <c r="E335" s="14">
        <f t="shared" ca="1" si="33"/>
        <v>9.2883546517184001</v>
      </c>
      <c r="F335" s="13">
        <f t="shared" ca="1" si="34"/>
        <v>0.4641985800966224</v>
      </c>
      <c r="G335" s="10">
        <f t="shared" ca="1" si="35"/>
        <v>3.1458465041690338</v>
      </c>
    </row>
    <row r="336" spans="1:7">
      <c r="A336" s="8">
        <v>331</v>
      </c>
      <c r="B336" s="9">
        <f t="shared" ca="1" si="30"/>
        <v>0.32776249435829008</v>
      </c>
      <c r="C336" s="10">
        <f t="shared" ca="1" si="31"/>
        <v>5.9571535482985052</v>
      </c>
      <c r="D336" s="9">
        <f t="shared" ca="1" si="32"/>
        <v>4.0132185450673097E-3</v>
      </c>
      <c r="E336" s="10">
        <f t="shared" ca="1" si="33"/>
        <v>3.2687711550952065</v>
      </c>
      <c r="F336" s="9">
        <f t="shared" ca="1" si="34"/>
        <v>6.0802506260767553E-3</v>
      </c>
      <c r="G336" s="10">
        <f t="shared" ca="1" si="35"/>
        <v>0.73751316004239331</v>
      </c>
    </row>
    <row r="337" spans="1:7">
      <c r="A337" s="8">
        <v>332</v>
      </c>
      <c r="B337" s="13">
        <f t="shared" ca="1" si="30"/>
        <v>0.1215992639510669</v>
      </c>
      <c r="C337" s="14">
        <f t="shared" ca="1" si="31"/>
        <v>1.9447855542667123</v>
      </c>
      <c r="D337" s="13">
        <f t="shared" ca="1" si="32"/>
        <v>0.88046027939225568</v>
      </c>
      <c r="E337" s="14">
        <f t="shared" ca="1" si="33"/>
        <v>9.2557328121540543</v>
      </c>
      <c r="F337" s="13">
        <f t="shared" ca="1" si="34"/>
        <v>0.15988912388019083</v>
      </c>
      <c r="G337" s="10">
        <f t="shared" ca="1" si="35"/>
        <v>1.827688019248527</v>
      </c>
    </row>
    <row r="338" spans="1:7">
      <c r="A338" s="8">
        <v>333</v>
      </c>
      <c r="B338" s="9">
        <f t="shared" ca="1" si="30"/>
        <v>0.7366272277525</v>
      </c>
      <c r="C338" s="10">
        <f t="shared" ca="1" si="31"/>
        <v>20.012772980622152</v>
      </c>
      <c r="D338" s="9">
        <f t="shared" ca="1" si="32"/>
        <v>0.39220617310286676</v>
      </c>
      <c r="E338" s="10">
        <f t="shared" ca="1" si="33"/>
        <v>5.8120268993377655</v>
      </c>
      <c r="F338" s="9">
        <f t="shared" ca="1" si="34"/>
        <v>0.23517721960716853</v>
      </c>
      <c r="G338" s="10">
        <f t="shared" ca="1" si="35"/>
        <v>2.1529920260375444</v>
      </c>
    </row>
    <row r="339" spans="1:7">
      <c r="A339" s="8">
        <v>334</v>
      </c>
      <c r="B339" s="13">
        <f t="shared" ca="1" si="30"/>
        <v>0.54255553716794136</v>
      </c>
      <c r="C339" s="14">
        <f t="shared" ca="1" si="31"/>
        <v>11.731496915280974</v>
      </c>
      <c r="D339" s="13">
        <f t="shared" ca="1" si="32"/>
        <v>0.93501571413417028</v>
      </c>
      <c r="E339" s="14">
        <f t="shared" ca="1" si="33"/>
        <v>9.9766339902164827</v>
      </c>
      <c r="F339" s="13">
        <f t="shared" ca="1" si="34"/>
        <v>0.63065628905522608</v>
      </c>
      <c r="G339" s="10">
        <f t="shared" ca="1" si="35"/>
        <v>4.0558294922539204</v>
      </c>
    </row>
    <row r="340" spans="1:7">
      <c r="A340" s="8">
        <v>335</v>
      </c>
      <c r="B340" s="9">
        <f t="shared" ca="1" si="30"/>
        <v>0.95391060920978388</v>
      </c>
      <c r="C340" s="10">
        <f t="shared" ca="1" si="31"/>
        <v>46.157587352505878</v>
      </c>
      <c r="D340" s="9">
        <f t="shared" ca="1" si="32"/>
        <v>4.4868128884884451E-2</v>
      </c>
      <c r="E340" s="10">
        <f t="shared" ca="1" si="33"/>
        <v>3.8986803213200565</v>
      </c>
      <c r="F340" s="9">
        <f t="shared" ca="1" si="34"/>
        <v>0.16071942536759287</v>
      </c>
      <c r="G340" s="10">
        <f t="shared" ca="1" si="35"/>
        <v>1.831429395621927</v>
      </c>
    </row>
    <row r="341" spans="1:7">
      <c r="A341" s="8">
        <v>336</v>
      </c>
      <c r="B341" s="13">
        <f t="shared" ca="1" si="30"/>
        <v>0.53472383668946011</v>
      </c>
      <c r="C341" s="14">
        <f t="shared" ca="1" si="31"/>
        <v>11.476862251361847</v>
      </c>
      <c r="D341" s="13">
        <f t="shared" ca="1" si="32"/>
        <v>0.48744926223002216</v>
      </c>
      <c r="E341" s="14">
        <f t="shared" ca="1" si="33"/>
        <v>6.3175096586524138</v>
      </c>
      <c r="F341" s="13">
        <f t="shared" ca="1" si="34"/>
        <v>4.500003223878013E-2</v>
      </c>
      <c r="G341" s="10">
        <f t="shared" ca="1" si="35"/>
        <v>1.2005281415250557</v>
      </c>
    </row>
    <row r="342" spans="1:7">
      <c r="A342" s="8">
        <v>337</v>
      </c>
      <c r="B342" s="9">
        <f t="shared" ca="1" si="30"/>
        <v>0.86800162043795281</v>
      </c>
      <c r="C342" s="10">
        <f t="shared" ca="1" si="31"/>
        <v>30.374484487743217</v>
      </c>
      <c r="D342" s="9">
        <f t="shared" ca="1" si="32"/>
        <v>0.95221712804465974</v>
      </c>
      <c r="E342" s="10">
        <f t="shared" ca="1" si="33"/>
        <v>10.26497235376884</v>
      </c>
      <c r="F342" s="9">
        <f t="shared" ca="1" si="34"/>
        <v>0.20474543322164751</v>
      </c>
      <c r="G342" s="10">
        <f t="shared" ca="1" si="35"/>
        <v>2.0241017943628825</v>
      </c>
    </row>
    <row r="343" spans="1:7">
      <c r="A343" s="8">
        <v>338</v>
      </c>
      <c r="B343" s="13">
        <f t="shared" ca="1" si="30"/>
        <v>0.33041847790016809</v>
      </c>
      <c r="C343" s="14">
        <f t="shared" ca="1" si="31"/>
        <v>6.0165353342698644</v>
      </c>
      <c r="D343" s="13">
        <f t="shared" ca="1" si="32"/>
        <v>0.94933852683414399</v>
      </c>
      <c r="E343" s="14">
        <f t="shared" ca="1" si="33"/>
        <v>10.213474654686106</v>
      </c>
      <c r="F343" s="13">
        <f t="shared" ca="1" si="34"/>
        <v>0.19035886857882289</v>
      </c>
      <c r="G343" s="10">
        <f t="shared" ca="1" si="35"/>
        <v>1.9621783054048416</v>
      </c>
    </row>
    <row r="344" spans="1:7">
      <c r="A344" s="8">
        <v>339</v>
      </c>
      <c r="B344" s="9">
        <f t="shared" ca="1" si="30"/>
        <v>0.58245871642433855</v>
      </c>
      <c r="C344" s="10">
        <f t="shared" ca="1" si="31"/>
        <v>13.100577851457819</v>
      </c>
      <c r="D344" s="9">
        <f t="shared" ca="1" si="32"/>
        <v>0.64939012194069246</v>
      </c>
      <c r="E344" s="10">
        <f t="shared" ca="1" si="33"/>
        <v>7.3001678415355755</v>
      </c>
      <c r="F344" s="9">
        <f t="shared" ca="1" si="34"/>
        <v>0.91080247807688186</v>
      </c>
      <c r="G344" s="10">
        <f t="shared" ca="1" si="35"/>
        <v>7.444145540413607</v>
      </c>
    </row>
    <row r="345" spans="1:7">
      <c r="A345" s="8">
        <v>340</v>
      </c>
      <c r="B345" s="13">
        <f t="shared" ca="1" si="30"/>
        <v>6.9681434711743928E-2</v>
      </c>
      <c r="C345" s="14">
        <f t="shared" ca="1" si="31"/>
        <v>1.0834231225304873</v>
      </c>
      <c r="D345" s="13">
        <f t="shared" ca="1" si="32"/>
        <v>0.42378247483820464</v>
      </c>
      <c r="E345" s="14">
        <f t="shared" ca="1" si="33"/>
        <v>5.9749104500270613</v>
      </c>
      <c r="F345" s="13">
        <f t="shared" ca="1" si="34"/>
        <v>0.6023603358274886</v>
      </c>
      <c r="G345" s="10">
        <f t="shared" ca="1" si="35"/>
        <v>3.8793855879017682</v>
      </c>
    </row>
    <row r="346" spans="1:7">
      <c r="A346" s="8">
        <v>341</v>
      </c>
      <c r="B346" s="9">
        <f t="shared" ca="1" si="30"/>
        <v>0.58469625454497631</v>
      </c>
      <c r="C346" s="10">
        <f t="shared" ca="1" si="31"/>
        <v>13.181176645691878</v>
      </c>
      <c r="D346" s="9">
        <f t="shared" ca="1" si="32"/>
        <v>0.19612913006023236</v>
      </c>
      <c r="E346" s="10">
        <f t="shared" ca="1" si="33"/>
        <v>4.8789157354932611</v>
      </c>
      <c r="F346" s="9">
        <f t="shared" ca="1" si="34"/>
        <v>0.46698079175120766</v>
      </c>
      <c r="G346" s="10">
        <f t="shared" ca="1" si="35"/>
        <v>3.1590869209828871</v>
      </c>
    </row>
    <row r="347" spans="1:7">
      <c r="A347" s="8">
        <v>342</v>
      </c>
      <c r="B347" s="13">
        <f t="shared" ca="1" si="30"/>
        <v>0.96663559470924776</v>
      </c>
      <c r="C347" s="14">
        <f t="shared" ca="1" si="31"/>
        <v>51.003984856945927</v>
      </c>
      <c r="D347" s="13">
        <f t="shared" ca="1" si="32"/>
        <v>0.30483704399568334</v>
      </c>
      <c r="E347" s="14">
        <f t="shared" ca="1" si="33"/>
        <v>5.382200801756527</v>
      </c>
      <c r="F347" s="13">
        <f t="shared" ca="1" si="34"/>
        <v>0.60198990512386819</v>
      </c>
      <c r="G347" s="10">
        <f t="shared" ca="1" si="35"/>
        <v>3.8771512421991967</v>
      </c>
    </row>
    <row r="348" spans="1:7">
      <c r="A348" s="8">
        <v>343</v>
      </c>
      <c r="B348" s="9">
        <f t="shared" ca="1" si="30"/>
        <v>0.56342257890919378</v>
      </c>
      <c r="C348" s="10">
        <f t="shared" ca="1" si="31"/>
        <v>12.431843272870205</v>
      </c>
      <c r="D348" s="9">
        <f t="shared" ca="1" si="32"/>
        <v>0.79029412461906789</v>
      </c>
      <c r="E348" s="10">
        <f t="shared" ca="1" si="33"/>
        <v>8.3652413905461724</v>
      </c>
      <c r="F348" s="9">
        <f t="shared" ca="1" si="34"/>
        <v>0.18867566594160901</v>
      </c>
      <c r="G348" s="10">
        <f t="shared" ca="1" si="35"/>
        <v>1.9548779513553294</v>
      </c>
    </row>
    <row r="349" spans="1:7">
      <c r="A349" s="8">
        <v>344</v>
      </c>
      <c r="B349" s="13">
        <f t="shared" ca="1" si="30"/>
        <v>0.48212820869792206</v>
      </c>
      <c r="C349" s="14">
        <f t="shared" ca="1" si="31"/>
        <v>9.8704136174466974</v>
      </c>
      <c r="D349" s="13">
        <f t="shared" ca="1" si="32"/>
        <v>0.57947577206312728</v>
      </c>
      <c r="E349" s="14">
        <f t="shared" ca="1" si="33"/>
        <v>6.8528623138657947</v>
      </c>
      <c r="F349" s="13">
        <f t="shared" ca="1" si="34"/>
        <v>0.44896853405966131</v>
      </c>
      <c r="G349" s="10">
        <f t="shared" ca="1" si="35"/>
        <v>3.0741834965645931</v>
      </c>
    </row>
    <row r="350" spans="1:7">
      <c r="A350" s="8">
        <v>345</v>
      </c>
      <c r="B350" s="9">
        <f t="shared" ca="1" si="30"/>
        <v>0.73467803266780085</v>
      </c>
      <c r="C350" s="10">
        <f t="shared" ca="1" si="31"/>
        <v>19.902168291166085</v>
      </c>
      <c r="D350" s="9">
        <f t="shared" ca="1" si="32"/>
        <v>0.26364819290849151</v>
      </c>
      <c r="E350" s="10">
        <f t="shared" ca="1" si="33"/>
        <v>5.1889674904046279</v>
      </c>
      <c r="F350" s="9">
        <f t="shared" ca="1" si="34"/>
        <v>6.5570686877279294E-2</v>
      </c>
      <c r="G350" s="10">
        <f t="shared" ca="1" si="35"/>
        <v>1.342092889045206</v>
      </c>
    </row>
    <row r="351" spans="1:7">
      <c r="A351" s="8">
        <v>346</v>
      </c>
      <c r="B351" s="13">
        <f t="shared" ca="1" si="30"/>
        <v>0.62551396210198384</v>
      </c>
      <c r="C351" s="14">
        <f t="shared" ca="1" si="31"/>
        <v>14.733011380516777</v>
      </c>
      <c r="D351" s="13">
        <f t="shared" ca="1" si="32"/>
        <v>0.95553266898852385</v>
      </c>
      <c r="E351" s="14">
        <f t="shared" ca="1" si="33"/>
        <v>10.326249166177057</v>
      </c>
      <c r="F351" s="13">
        <f t="shared" ca="1" si="34"/>
        <v>0.11496150432445418</v>
      </c>
      <c r="G351" s="10">
        <f t="shared" ca="1" si="35"/>
        <v>1.6155341985181406</v>
      </c>
    </row>
    <row r="352" spans="1:7">
      <c r="A352" s="8">
        <v>347</v>
      </c>
      <c r="B352" s="9">
        <f t="shared" ca="1" si="30"/>
        <v>0.8911231137124821</v>
      </c>
      <c r="C352" s="10">
        <f t="shared" ca="1" si="31"/>
        <v>33.263062780515938</v>
      </c>
      <c r="D352" s="9">
        <f t="shared" ca="1" si="32"/>
        <v>0.99961178083084246</v>
      </c>
      <c r="E352" s="10">
        <f t="shared" ca="1" si="33"/>
        <v>11.843610078147838</v>
      </c>
      <c r="F352" s="9">
        <f t="shared" ca="1" si="34"/>
        <v>2.091085713074925E-3</v>
      </c>
      <c r="G352" s="10">
        <f t="shared" ca="1" si="35"/>
        <v>0.59544254553218123</v>
      </c>
    </row>
    <row r="353" spans="1:7">
      <c r="A353" s="8">
        <v>348</v>
      </c>
      <c r="B353" s="13">
        <f t="shared" ca="1" si="30"/>
        <v>0.66881309723606142</v>
      </c>
      <c r="C353" s="14">
        <f t="shared" ca="1" si="31"/>
        <v>16.576086030717295</v>
      </c>
      <c r="D353" s="13">
        <f t="shared" ca="1" si="32"/>
        <v>0.81483964997638547</v>
      </c>
      <c r="E353" s="14">
        <f t="shared" ca="1" si="33"/>
        <v>8.5845787885697433</v>
      </c>
      <c r="F353" s="13">
        <f t="shared" ca="1" si="34"/>
        <v>0.29710304032945845</v>
      </c>
      <c r="G353" s="10">
        <f t="shared" ca="1" si="35"/>
        <v>2.4117424799719527</v>
      </c>
    </row>
    <row r="354" spans="1:7">
      <c r="A354" s="8">
        <v>349</v>
      </c>
      <c r="B354" s="9">
        <f t="shared" ca="1" si="30"/>
        <v>0.49076320102398407</v>
      </c>
      <c r="C354" s="10">
        <f t="shared" ca="1" si="31"/>
        <v>10.12263220039898</v>
      </c>
      <c r="D354" s="9">
        <f t="shared" ca="1" si="32"/>
        <v>0.90295849962567598</v>
      </c>
      <c r="E354" s="10">
        <f t="shared" ca="1" si="33"/>
        <v>9.5274275493764762</v>
      </c>
      <c r="F354" s="9">
        <f t="shared" ca="1" si="34"/>
        <v>0.89656200219247906</v>
      </c>
      <c r="G354" s="10">
        <f t="shared" ca="1" si="35"/>
        <v>7.0803361791414927</v>
      </c>
    </row>
    <row r="355" spans="1:7">
      <c r="A355" s="8">
        <v>350</v>
      </c>
      <c r="B355" s="13">
        <f t="shared" ca="1" si="30"/>
        <v>9.9517755956979204E-2</v>
      </c>
      <c r="C355" s="14">
        <f t="shared" ca="1" si="31"/>
        <v>1.5723724867084929</v>
      </c>
      <c r="D355" s="13">
        <f t="shared" ca="1" si="32"/>
        <v>0.22252801502223518</v>
      </c>
      <c r="E355" s="14">
        <f t="shared" ca="1" si="33"/>
        <v>5.0013762028810849</v>
      </c>
      <c r="F355" s="13">
        <f t="shared" ca="1" si="34"/>
        <v>0.70624831018105727</v>
      </c>
      <c r="G355" s="10">
        <f t="shared" ca="1" si="35"/>
        <v>4.5973244745113346</v>
      </c>
    </row>
    <row r="356" spans="1:7">
      <c r="A356" s="8">
        <v>351</v>
      </c>
      <c r="B356" s="9">
        <f t="shared" ca="1" si="30"/>
        <v>0.7489319719151093</v>
      </c>
      <c r="C356" s="10">
        <f t="shared" ca="1" si="31"/>
        <v>20.730470225178177</v>
      </c>
      <c r="D356" s="9">
        <f t="shared" ca="1" si="32"/>
        <v>0.11362456844037805</v>
      </c>
      <c r="E356" s="10">
        <f t="shared" ca="1" si="33"/>
        <v>4.4301196565066867</v>
      </c>
      <c r="F356" s="9">
        <f t="shared" ca="1" si="34"/>
        <v>0.80849988797943573</v>
      </c>
      <c r="G356" s="10">
        <f t="shared" ca="1" si="35"/>
        <v>5.6037105249065373</v>
      </c>
    </row>
    <row r="357" spans="1:7">
      <c r="A357" s="8">
        <v>352</v>
      </c>
      <c r="B357" s="13">
        <f t="shared" ca="1" si="30"/>
        <v>7.5073467728626664E-2</v>
      </c>
      <c r="C357" s="14">
        <f t="shared" ca="1" si="31"/>
        <v>1.1706145379324766</v>
      </c>
      <c r="D357" s="13">
        <f t="shared" ca="1" si="32"/>
        <v>0.10477485823539145</v>
      </c>
      <c r="E357" s="14">
        <f t="shared" ca="1" si="33"/>
        <v>4.3732980187261052</v>
      </c>
      <c r="F357" s="13">
        <f t="shared" ca="1" si="34"/>
        <v>0.89891349425222067</v>
      </c>
      <c r="G357" s="10">
        <f t="shared" ca="1" si="35"/>
        <v>7.136560869894101</v>
      </c>
    </row>
    <row r="358" spans="1:7">
      <c r="A358" s="8">
        <v>353</v>
      </c>
      <c r="B358" s="9">
        <f t="shared" ca="1" si="30"/>
        <v>0.87326869064445789</v>
      </c>
      <c r="C358" s="10">
        <f t="shared" ca="1" si="31"/>
        <v>30.985291621350378</v>
      </c>
      <c r="D358" s="9">
        <f t="shared" ca="1" si="32"/>
        <v>0.18103051311790253</v>
      </c>
      <c r="E358" s="10">
        <f t="shared" ca="1" si="33"/>
        <v>4.8051452119212588</v>
      </c>
      <c r="F358" s="9">
        <f t="shared" ca="1" si="34"/>
        <v>0.73152345634773774</v>
      </c>
      <c r="G358" s="10">
        <f t="shared" ca="1" si="35"/>
        <v>4.8088416195681214</v>
      </c>
    </row>
    <row r="359" spans="1:7">
      <c r="A359" s="8">
        <v>354</v>
      </c>
      <c r="B359" s="13">
        <f t="shared" ca="1" si="30"/>
        <v>0.45814052141879946</v>
      </c>
      <c r="C359" s="14">
        <f t="shared" ca="1" si="31"/>
        <v>9.1912286365155182</v>
      </c>
      <c r="D359" s="13">
        <f t="shared" ca="1" si="32"/>
        <v>0.76289421952274228</v>
      </c>
      <c r="E359" s="14">
        <f t="shared" ca="1" si="33"/>
        <v>8.1350725530655517</v>
      </c>
      <c r="F359" s="13">
        <f t="shared" ca="1" si="34"/>
        <v>0.45279899170377413</v>
      </c>
      <c r="G359" s="10">
        <f t="shared" ca="1" si="35"/>
        <v>3.0920810100143323</v>
      </c>
    </row>
    <row r="360" spans="1:7">
      <c r="A360" s="8">
        <v>355</v>
      </c>
      <c r="B360" s="9">
        <f t="shared" ca="1" si="30"/>
        <v>0.21708219149618613</v>
      </c>
      <c r="C360" s="10">
        <f t="shared" ca="1" si="31"/>
        <v>3.6709133772513884</v>
      </c>
      <c r="D360" s="9">
        <f t="shared" ca="1" si="32"/>
        <v>0.98057929120110443</v>
      </c>
      <c r="E360" s="10">
        <f t="shared" ca="1" si="33"/>
        <v>10.89387855353473</v>
      </c>
      <c r="F360" s="9">
        <f t="shared" ca="1" si="34"/>
        <v>4.1043706116789869E-2</v>
      </c>
      <c r="G360" s="10">
        <f t="shared" ca="1" si="35"/>
        <v>1.1697377095415278</v>
      </c>
    </row>
    <row r="361" spans="1:7">
      <c r="A361" s="8">
        <v>356</v>
      </c>
      <c r="B361" s="13">
        <f t="shared" ca="1" si="30"/>
        <v>0.276314955877066</v>
      </c>
      <c r="C361" s="14">
        <f t="shared" ca="1" si="31"/>
        <v>4.8509850476334035</v>
      </c>
      <c r="D361" s="13">
        <f t="shared" ca="1" si="32"/>
        <v>0.34828887661849961</v>
      </c>
      <c r="E361" s="14">
        <f t="shared" ca="1" si="33"/>
        <v>5.5923638701129006</v>
      </c>
      <c r="F361" s="13">
        <f t="shared" ca="1" si="34"/>
        <v>0.12758406101888231</v>
      </c>
      <c r="G361" s="10">
        <f t="shared" ca="1" si="35"/>
        <v>1.6774393748399199</v>
      </c>
    </row>
    <row r="362" spans="1:7">
      <c r="A362" s="8">
        <v>357</v>
      </c>
      <c r="B362" s="9">
        <f t="shared" ca="1" si="30"/>
        <v>0.63608523860948096</v>
      </c>
      <c r="C362" s="10">
        <f t="shared" ca="1" si="31"/>
        <v>15.162534161580147</v>
      </c>
      <c r="D362" s="9">
        <f t="shared" ca="1" si="32"/>
        <v>0.3595608179629739</v>
      </c>
      <c r="E362" s="10">
        <f t="shared" ca="1" si="33"/>
        <v>5.6480185399882785</v>
      </c>
      <c r="F362" s="9">
        <f t="shared" ca="1" si="34"/>
        <v>0.47146260375351234</v>
      </c>
      <c r="G362" s="10">
        <f t="shared" ca="1" si="35"/>
        <v>3.1805169454307429</v>
      </c>
    </row>
    <row r="363" spans="1:7">
      <c r="A363" s="8">
        <v>358</v>
      </c>
      <c r="B363" s="13">
        <f t="shared" ca="1" si="30"/>
        <v>0.52107108762810506</v>
      </c>
      <c r="C363" s="14">
        <f t="shared" ca="1" si="31"/>
        <v>11.043046514913669</v>
      </c>
      <c r="D363" s="13">
        <f t="shared" ca="1" si="32"/>
        <v>7.8659853007300717E-2</v>
      </c>
      <c r="E363" s="14">
        <f t="shared" ca="1" si="33"/>
        <v>4.18990644763839</v>
      </c>
      <c r="F363" s="13">
        <f t="shared" ca="1" si="34"/>
        <v>0.30265248069984541</v>
      </c>
      <c r="G363" s="10">
        <f t="shared" ca="1" si="35"/>
        <v>2.4349540619944876</v>
      </c>
    </row>
    <row r="364" spans="1:7">
      <c r="A364" s="8">
        <v>359</v>
      </c>
      <c r="B364" s="9">
        <f t="shared" ca="1" si="30"/>
        <v>5.9813641821539365E-2</v>
      </c>
      <c r="C364" s="10">
        <f t="shared" ca="1" si="31"/>
        <v>0.92515754979526432</v>
      </c>
      <c r="D364" s="9">
        <f t="shared" ca="1" si="32"/>
        <v>0.13958779723876602</v>
      </c>
      <c r="E364" s="10">
        <f t="shared" ca="1" si="33"/>
        <v>4.5851120939220005</v>
      </c>
      <c r="F364" s="9">
        <f t="shared" ca="1" si="34"/>
        <v>0.11175935395872505</v>
      </c>
      <c r="G364" s="10">
        <f t="shared" ca="1" si="35"/>
        <v>1.5994585047455618</v>
      </c>
    </row>
    <row r="365" spans="1:7">
      <c r="A365" s="8">
        <v>360</v>
      </c>
      <c r="B365" s="13">
        <f t="shared" ca="1" si="30"/>
        <v>0.61679995859058268</v>
      </c>
      <c r="C365" s="14">
        <f t="shared" ca="1" si="31"/>
        <v>14.387971872349254</v>
      </c>
      <c r="D365" s="13">
        <f t="shared" ca="1" si="32"/>
        <v>0.89483678391163679</v>
      </c>
      <c r="E365" s="14">
        <f t="shared" ca="1" si="33"/>
        <v>9.42603756562632</v>
      </c>
      <c r="F365" s="13">
        <f t="shared" ca="1" si="34"/>
        <v>0.8581455542834594</v>
      </c>
      <c r="G365" s="10">
        <f t="shared" ca="1" si="35"/>
        <v>6.3168134645517808</v>
      </c>
    </row>
    <row r="366" spans="1:7">
      <c r="A366" s="8">
        <v>361</v>
      </c>
      <c r="B366" s="9">
        <f t="shared" ca="1" si="30"/>
        <v>0.85767556958425284</v>
      </c>
      <c r="C366" s="10">
        <f t="shared" ca="1" si="31"/>
        <v>29.244691592253137</v>
      </c>
      <c r="D366" s="9">
        <f t="shared" ca="1" si="32"/>
        <v>0.7197578254003314</v>
      </c>
      <c r="E366" s="10">
        <f t="shared" ca="1" si="33"/>
        <v>7.7981840830684739</v>
      </c>
      <c r="F366" s="9">
        <f t="shared" ca="1" si="34"/>
        <v>0.33993145435664407</v>
      </c>
      <c r="G366" s="10">
        <f t="shared" ca="1" si="35"/>
        <v>2.5919484079099551</v>
      </c>
    </row>
    <row r="367" spans="1:7">
      <c r="A367" s="8">
        <v>362</v>
      </c>
      <c r="B367" s="13">
        <f t="shared" ca="1" si="30"/>
        <v>0.76018186668315224</v>
      </c>
      <c r="C367" s="14">
        <f t="shared" ca="1" si="31"/>
        <v>21.418116311180604</v>
      </c>
      <c r="D367" s="13">
        <f t="shared" ca="1" si="32"/>
        <v>0.95281655801591503</v>
      </c>
      <c r="E367" s="14">
        <f t="shared" ca="1" si="33"/>
        <v>10.275889549652531</v>
      </c>
      <c r="F367" s="13">
        <f t="shared" ca="1" si="34"/>
        <v>0.445895027550541</v>
      </c>
      <c r="G367" s="10">
        <f t="shared" ca="1" si="35"/>
        <v>3.0598818382952033</v>
      </c>
    </row>
    <row r="368" spans="1:7">
      <c r="A368" s="8">
        <v>363</v>
      </c>
      <c r="B368" s="9">
        <f t="shared" ca="1" si="30"/>
        <v>0.64838371620489077</v>
      </c>
      <c r="C368" s="10">
        <f t="shared" ca="1" si="31"/>
        <v>15.678222012496683</v>
      </c>
      <c r="D368" s="9">
        <f t="shared" ca="1" si="32"/>
        <v>0.32268970854637147</v>
      </c>
      <c r="E368" s="10">
        <f t="shared" ca="1" si="33"/>
        <v>5.4677302289649274</v>
      </c>
      <c r="F368" s="9">
        <f t="shared" ca="1" si="34"/>
        <v>0.41876686373384875</v>
      </c>
      <c r="G368" s="10">
        <f t="shared" ca="1" si="35"/>
        <v>2.935772179446928</v>
      </c>
    </row>
    <row r="369" spans="1:7">
      <c r="A369" s="8">
        <v>364</v>
      </c>
      <c r="B369" s="13">
        <f t="shared" ca="1" si="30"/>
        <v>0.69016926321858518</v>
      </c>
      <c r="C369" s="14">
        <f t="shared" ca="1" si="31"/>
        <v>17.575937115051442</v>
      </c>
      <c r="D369" s="13">
        <f t="shared" ca="1" si="32"/>
        <v>0.86064434101524334</v>
      </c>
      <c r="E369" s="14">
        <f t="shared" ca="1" si="33"/>
        <v>9.036993669254203</v>
      </c>
      <c r="F369" s="13">
        <f t="shared" ca="1" si="34"/>
        <v>0.89371569609040125</v>
      </c>
      <c r="G369" s="10">
        <f t="shared" ca="1" si="35"/>
        <v>7.0140836976661669</v>
      </c>
    </row>
    <row r="370" spans="1:7">
      <c r="A370" s="8">
        <v>365</v>
      </c>
      <c r="B370" s="9">
        <f t="shared" ca="1" si="30"/>
        <v>3.913544622579157E-2</v>
      </c>
      <c r="C370" s="10">
        <f t="shared" ca="1" si="31"/>
        <v>0.59882734422221739</v>
      </c>
      <c r="D370" s="9">
        <f t="shared" ca="1" si="32"/>
        <v>0.82106038695148365</v>
      </c>
      <c r="E370" s="10">
        <f t="shared" ca="1" si="33"/>
        <v>8.6424420150864805</v>
      </c>
      <c r="F370" s="9">
        <f t="shared" ca="1" si="34"/>
        <v>0.37597346865201142</v>
      </c>
      <c r="G370" s="10">
        <f t="shared" ca="1" si="35"/>
        <v>2.7465788193145437</v>
      </c>
    </row>
    <row r="371" spans="1:7">
      <c r="A371" s="8">
        <v>366</v>
      </c>
      <c r="B371" s="13">
        <f t="shared" ca="1" si="30"/>
        <v>0.47282347224132393</v>
      </c>
      <c r="C371" s="14">
        <f t="shared" ca="1" si="31"/>
        <v>9.6032972886866261</v>
      </c>
      <c r="D371" s="13">
        <f t="shared" ca="1" si="32"/>
        <v>0.20723919560985826</v>
      </c>
      <c r="E371" s="14">
        <f t="shared" ca="1" si="33"/>
        <v>4.9313998863460276</v>
      </c>
      <c r="F371" s="13">
        <f t="shared" ca="1" si="34"/>
        <v>0.37802050717827351</v>
      </c>
      <c r="G371" s="10">
        <f t="shared" ca="1" si="35"/>
        <v>2.7554746660068519</v>
      </c>
    </row>
    <row r="372" spans="1:7">
      <c r="A372" s="8">
        <v>367</v>
      </c>
      <c r="B372" s="9">
        <f t="shared" ca="1" si="30"/>
        <v>5.1562506428009525E-2</v>
      </c>
      <c r="C372" s="10">
        <f t="shared" ca="1" si="31"/>
        <v>0.79409088107538417</v>
      </c>
      <c r="D372" s="9">
        <f t="shared" ca="1" si="32"/>
        <v>0.16279786198491653</v>
      </c>
      <c r="E372" s="10">
        <f t="shared" ca="1" si="33"/>
        <v>4.7118298734770629</v>
      </c>
      <c r="F372" s="9">
        <f t="shared" ca="1" si="34"/>
        <v>0.78792559052303701</v>
      </c>
      <c r="G372" s="10">
        <f t="shared" ca="1" si="35"/>
        <v>5.3631233966744514</v>
      </c>
    </row>
    <row r="373" spans="1:7">
      <c r="A373" s="8">
        <v>368</v>
      </c>
      <c r="B373" s="13">
        <f t="shared" ca="1" si="30"/>
        <v>0.25577147321211402</v>
      </c>
      <c r="C373" s="14">
        <f t="shared" ca="1" si="31"/>
        <v>4.4311069747766876</v>
      </c>
      <c r="D373" s="13">
        <f t="shared" ca="1" si="32"/>
        <v>0.11203493361203687</v>
      </c>
      <c r="E373" s="14">
        <f t="shared" ca="1" si="33"/>
        <v>4.4200805628613695</v>
      </c>
      <c r="F373" s="13">
        <f t="shared" ca="1" si="34"/>
        <v>0.74976933424086967</v>
      </c>
      <c r="G373" s="10">
        <f t="shared" ca="1" si="35"/>
        <v>4.9741695509563337</v>
      </c>
    </row>
    <row r="374" spans="1:7">
      <c r="A374" s="8">
        <v>369</v>
      </c>
      <c r="B374" s="9">
        <f t="shared" ca="1" si="30"/>
        <v>0.86279838038215595</v>
      </c>
      <c r="C374" s="10">
        <f t="shared" ca="1" si="31"/>
        <v>29.7945563844787</v>
      </c>
      <c r="D374" s="9">
        <f t="shared" ca="1" si="32"/>
        <v>0.64128025990118986</v>
      </c>
      <c r="E374" s="10">
        <f t="shared" ca="1" si="33"/>
        <v>7.2461233055299976</v>
      </c>
      <c r="F374" s="9">
        <f t="shared" ca="1" si="34"/>
        <v>0.15935520993108976</v>
      </c>
      <c r="G374" s="10">
        <f t="shared" ca="1" si="35"/>
        <v>1.8252795163245485</v>
      </c>
    </row>
    <row r="375" spans="1:7">
      <c r="A375" s="8">
        <v>370</v>
      </c>
      <c r="B375" s="13">
        <f t="shared" ca="1" si="30"/>
        <v>0.60933923363819853</v>
      </c>
      <c r="C375" s="14">
        <f t="shared" ca="1" si="31"/>
        <v>14.098735511951896</v>
      </c>
      <c r="D375" s="13">
        <f t="shared" ca="1" si="32"/>
        <v>5.7217458269453125E-2</v>
      </c>
      <c r="E375" s="14">
        <f t="shared" ca="1" si="33"/>
        <v>4.0148469090706023</v>
      </c>
      <c r="F375" s="13">
        <f t="shared" ca="1" si="34"/>
        <v>0.74538862858317967</v>
      </c>
      <c r="G375" s="10">
        <f t="shared" ca="1" si="35"/>
        <v>4.9334032564626202</v>
      </c>
    </row>
    <row r="376" spans="1:7">
      <c r="A376" s="8">
        <v>371</v>
      </c>
      <c r="B376" s="9">
        <f t="shared" ca="1" si="30"/>
        <v>0.32569731646193645</v>
      </c>
      <c r="C376" s="10">
        <f t="shared" ca="1" si="31"/>
        <v>5.9111427526565565</v>
      </c>
      <c r="D376" s="9">
        <f t="shared" ca="1" si="32"/>
        <v>0.91537216614442385</v>
      </c>
      <c r="E376" s="10">
        <f t="shared" ca="1" si="33"/>
        <v>9.6909842934918569</v>
      </c>
      <c r="F376" s="9">
        <f t="shared" ca="1" si="34"/>
        <v>0.74286780090956872</v>
      </c>
      <c r="G376" s="10">
        <f t="shared" ca="1" si="35"/>
        <v>4.9102616032130317</v>
      </c>
    </row>
    <row r="377" spans="1:7">
      <c r="A377" s="8">
        <v>372</v>
      </c>
      <c r="B377" s="13">
        <f t="shared" ca="1" si="30"/>
        <v>0.88944033868858052</v>
      </c>
      <c r="C377" s="14">
        <f t="shared" ca="1" si="31"/>
        <v>33.032999735386753</v>
      </c>
      <c r="D377" s="13">
        <f t="shared" ca="1" si="32"/>
        <v>0.25252250770529105</v>
      </c>
      <c r="E377" s="14">
        <f t="shared" ca="1" si="33"/>
        <v>5.1377057761586276</v>
      </c>
      <c r="F377" s="13">
        <f t="shared" ca="1" si="34"/>
        <v>0.76630119501556504</v>
      </c>
      <c r="G377" s="10">
        <f t="shared" ca="1" si="35"/>
        <v>5.1347537722079819</v>
      </c>
    </row>
    <row r="378" spans="1:7">
      <c r="A378" s="8">
        <v>373</v>
      </c>
      <c r="B378" s="9">
        <f t="shared" ca="1" si="30"/>
        <v>0.96519718872762816</v>
      </c>
      <c r="C378" s="10">
        <f t="shared" ca="1" si="31"/>
        <v>50.370856676635341</v>
      </c>
      <c r="D378" s="9">
        <f t="shared" ca="1" si="32"/>
        <v>0.10197184715795127</v>
      </c>
      <c r="E378" s="10">
        <f t="shared" ca="1" si="33"/>
        <v>4.3548037676516564</v>
      </c>
      <c r="F378" s="9">
        <f t="shared" ca="1" si="34"/>
        <v>0.22162939943873083</v>
      </c>
      <c r="G378" s="10">
        <f t="shared" ca="1" si="35"/>
        <v>2.0958912600585755</v>
      </c>
    </row>
    <row r="379" spans="1:7">
      <c r="A379" s="8">
        <v>374</v>
      </c>
      <c r="B379" s="13">
        <f t="shared" ca="1" si="30"/>
        <v>0.94425916618087213</v>
      </c>
      <c r="C379" s="14">
        <f t="shared" ca="1" si="31"/>
        <v>43.305634469400978</v>
      </c>
      <c r="D379" s="13">
        <f t="shared" ca="1" si="32"/>
        <v>0.7155443623073785</v>
      </c>
      <c r="E379" s="14">
        <f t="shared" ca="1" si="33"/>
        <v>7.7667146121912412</v>
      </c>
      <c r="F379" s="13">
        <f t="shared" ca="1" si="34"/>
        <v>0.74783450248642858</v>
      </c>
      <c r="G379" s="10">
        <f t="shared" ca="1" si="35"/>
        <v>4.9560768468706939</v>
      </c>
    </row>
    <row r="380" spans="1:7">
      <c r="A380" s="8">
        <v>375</v>
      </c>
      <c r="B380" s="9">
        <f t="shared" ca="1" si="30"/>
        <v>0.41035645132494747</v>
      </c>
      <c r="C380" s="10">
        <f t="shared" ca="1" si="31"/>
        <v>7.9235561916819277</v>
      </c>
      <c r="D380" s="9">
        <f t="shared" ca="1" si="32"/>
        <v>0.46465492419460297</v>
      </c>
      <c r="E380" s="10">
        <f t="shared" ca="1" si="33"/>
        <v>6.1925272470944801</v>
      </c>
      <c r="F380" s="9">
        <f t="shared" ca="1" si="34"/>
        <v>0.97401365869813705</v>
      </c>
      <c r="G380" s="10">
        <f t="shared" ca="1" si="35"/>
        <v>10.654858343438489</v>
      </c>
    </row>
    <row r="381" spans="1:7">
      <c r="A381" s="8">
        <v>376</v>
      </c>
      <c r="B381" s="13">
        <f t="shared" ca="1" si="30"/>
        <v>0.10471025130884526</v>
      </c>
      <c r="C381" s="14">
        <f t="shared" ca="1" si="31"/>
        <v>1.6591180731886246</v>
      </c>
      <c r="D381" s="13">
        <f t="shared" ca="1" si="32"/>
        <v>0.60569015503191059</v>
      </c>
      <c r="E381" s="14">
        <f t="shared" ca="1" si="33"/>
        <v>7.0158731724614354</v>
      </c>
      <c r="F381" s="13">
        <f t="shared" ca="1" si="34"/>
        <v>0.17840838009360116</v>
      </c>
      <c r="G381" s="10">
        <f t="shared" ca="1" si="35"/>
        <v>1.910053800157528</v>
      </c>
    </row>
    <row r="382" spans="1:7">
      <c r="A382" s="8">
        <v>377</v>
      </c>
      <c r="B382" s="9">
        <f t="shared" ca="1" si="30"/>
        <v>0.1089986946003908</v>
      </c>
      <c r="C382" s="10">
        <f t="shared" ca="1" si="31"/>
        <v>1.7311407962616174</v>
      </c>
      <c r="D382" s="9">
        <f t="shared" ca="1" si="32"/>
        <v>0.78113402458431458</v>
      </c>
      <c r="E382" s="10">
        <f t="shared" ca="1" si="33"/>
        <v>8.2867054451352526</v>
      </c>
      <c r="F382" s="9">
        <f t="shared" ca="1" si="34"/>
        <v>0.2871100183664248</v>
      </c>
      <c r="G382" s="10">
        <f t="shared" ca="1" si="35"/>
        <v>2.3700038926389118</v>
      </c>
    </row>
    <row r="383" spans="1:7">
      <c r="A383" s="8">
        <v>378</v>
      </c>
      <c r="B383" s="13">
        <f t="shared" ca="1" si="30"/>
        <v>1.5161391089130505E-2</v>
      </c>
      <c r="C383" s="14">
        <f t="shared" ca="1" si="31"/>
        <v>0.22916250084277559</v>
      </c>
      <c r="D383" s="13">
        <f t="shared" ca="1" si="32"/>
        <v>6.4304329699548246E-3</v>
      </c>
      <c r="E383" s="14">
        <f t="shared" ca="1" si="33"/>
        <v>3.3402172738988818</v>
      </c>
      <c r="F383" s="13">
        <f t="shared" ca="1" si="34"/>
        <v>0.80777693596226818</v>
      </c>
      <c r="G383" s="10">
        <f t="shared" ca="1" si="35"/>
        <v>5.5948135996416006</v>
      </c>
    </row>
    <row r="384" spans="1:7">
      <c r="A384" s="8">
        <v>379</v>
      </c>
      <c r="B384" s="9">
        <f t="shared" ca="1" si="30"/>
        <v>0.12075433119689571</v>
      </c>
      <c r="C384" s="10">
        <f t="shared" ca="1" si="31"/>
        <v>1.9303640047970816</v>
      </c>
      <c r="D384" s="9">
        <f t="shared" ca="1" si="32"/>
        <v>0.50248338822291205</v>
      </c>
      <c r="E384" s="10">
        <f t="shared" ca="1" si="33"/>
        <v>6.4014692514949481</v>
      </c>
      <c r="F384" s="9">
        <f t="shared" ca="1" si="34"/>
        <v>0.59196022803506787</v>
      </c>
      <c r="G384" s="10">
        <f t="shared" ca="1" si="35"/>
        <v>3.8173413269745833</v>
      </c>
    </row>
    <row r="385" spans="1:7">
      <c r="A385" s="8">
        <v>380</v>
      </c>
      <c r="B385" s="13">
        <f t="shared" ca="1" si="30"/>
        <v>0.49133386055255202</v>
      </c>
      <c r="C385" s="14">
        <f t="shared" ca="1" si="31"/>
        <v>10.139450884189328</v>
      </c>
      <c r="D385" s="13">
        <f t="shared" ca="1" si="32"/>
        <v>0.60930459824122263</v>
      </c>
      <c r="E385" s="14">
        <f t="shared" ca="1" si="33"/>
        <v>7.0387692745848867</v>
      </c>
      <c r="F385" s="13">
        <f t="shared" ca="1" si="34"/>
        <v>0.31749916870449979</v>
      </c>
      <c r="G385" s="10">
        <f t="shared" ca="1" si="35"/>
        <v>2.4972194982058866</v>
      </c>
    </row>
    <row r="386" spans="1:7">
      <c r="A386" s="8">
        <v>381</v>
      </c>
      <c r="B386" s="9">
        <f t="shared" ca="1" si="30"/>
        <v>0.2170355759437903</v>
      </c>
      <c r="C386" s="10">
        <f t="shared" ca="1" si="31"/>
        <v>3.6700202918435529</v>
      </c>
      <c r="D386" s="9">
        <f t="shared" ca="1" si="32"/>
        <v>0.84315471301174483</v>
      </c>
      <c r="E386" s="10">
        <f t="shared" ca="1" si="33"/>
        <v>8.8565539482504114</v>
      </c>
      <c r="F386" s="9">
        <f t="shared" ca="1" si="34"/>
        <v>0.56292409294284051</v>
      </c>
      <c r="G386" s="10">
        <f t="shared" ca="1" si="35"/>
        <v>3.6511136572686791</v>
      </c>
    </row>
    <row r="387" spans="1:7">
      <c r="A387" s="8">
        <v>382</v>
      </c>
      <c r="B387" s="13">
        <f t="shared" ca="1" si="30"/>
        <v>0.85207333923036976</v>
      </c>
      <c r="C387" s="14">
        <f t="shared" ca="1" si="31"/>
        <v>28.66557995064856</v>
      </c>
      <c r="D387" s="13">
        <f t="shared" ca="1" si="32"/>
        <v>0.9332201543013473</v>
      </c>
      <c r="E387" s="14">
        <f t="shared" ca="1" si="33"/>
        <v>9.9488709745569111</v>
      </c>
      <c r="F387" s="13">
        <f t="shared" ca="1" si="34"/>
        <v>0.63087779743849459</v>
      </c>
      <c r="G387" s="10">
        <f t="shared" ca="1" si="35"/>
        <v>4.0572583698263687</v>
      </c>
    </row>
    <row r="388" spans="1:7">
      <c r="A388" s="8">
        <v>383</v>
      </c>
      <c r="B388" s="9">
        <f t="shared" ca="1" si="30"/>
        <v>0.28065921301276686</v>
      </c>
      <c r="C388" s="10">
        <f t="shared" ca="1" si="31"/>
        <v>4.9413008999163575</v>
      </c>
      <c r="D388" s="9">
        <f t="shared" ca="1" si="32"/>
        <v>0.25922570751226881</v>
      </c>
      <c r="E388" s="10">
        <f t="shared" ca="1" si="33"/>
        <v>5.1685447797173509</v>
      </c>
      <c r="F388" s="9">
        <f t="shared" ca="1" si="34"/>
        <v>0.33393573930632603</v>
      </c>
      <c r="G388" s="10">
        <f t="shared" ca="1" si="35"/>
        <v>2.5665365297955689</v>
      </c>
    </row>
    <row r="389" spans="1:7">
      <c r="A389" s="8">
        <v>384</v>
      </c>
      <c r="B389" s="13">
        <f t="shared" ca="1" si="30"/>
        <v>0.12690168408343871</v>
      </c>
      <c r="C389" s="14">
        <f t="shared" ca="1" si="31"/>
        <v>2.0356066653359046</v>
      </c>
      <c r="D389" s="13">
        <f t="shared" ca="1" si="32"/>
        <v>0.12900087223593359</v>
      </c>
      <c r="E389" s="14">
        <f t="shared" ca="1" si="33"/>
        <v>4.5238161635337786</v>
      </c>
      <c r="F389" s="13">
        <f t="shared" ca="1" si="34"/>
        <v>0.74705502457733153</v>
      </c>
      <c r="G389" s="10">
        <f t="shared" ca="1" si="35"/>
        <v>4.9488271730359275</v>
      </c>
    </row>
    <row r="390" spans="1:7">
      <c r="A390" s="8">
        <v>385</v>
      </c>
      <c r="B390" s="9">
        <f t="shared" ref="B390:B453" ca="1" si="36">RAND()</f>
        <v>7.7657939814523735E-2</v>
      </c>
      <c r="C390" s="10">
        <f t="shared" ref="C390:C453" ca="1" si="37">-$J$6 * LN(1 - B390)</f>
        <v>1.2125868929448986</v>
      </c>
      <c r="D390" s="9">
        <f t="shared" ref="D390:D453" ca="1" si="38">RAND()</f>
        <v>0.85255224420461884</v>
      </c>
      <c r="E390" s="10">
        <f t="shared" ref="E390:E453" ca="1" si="39">IF(D390&lt;=$N$9, $N$6+SQRT(D390*($N$8-$N$6)*($N$7-$N$6)), $N$8-SQRT((1-D390)*($N$8-$N$6)*($N$8-$N$7)))</f>
        <v>8.9521796944194669</v>
      </c>
      <c r="F390" s="9">
        <f t="shared" ref="F390:F453" ca="1" si="40">RAND()</f>
        <v>0.89729206664336125</v>
      </c>
      <c r="G390" s="10">
        <f t="shared" ca="1" si="35"/>
        <v>7.0976443723973075</v>
      </c>
    </row>
    <row r="391" spans="1:7">
      <c r="A391" s="8">
        <v>386</v>
      </c>
      <c r="B391" s="13">
        <f t="shared" ca="1" si="36"/>
        <v>0.83500866660669959</v>
      </c>
      <c r="C391" s="14">
        <f t="shared" ca="1" si="37"/>
        <v>27.027934970251877</v>
      </c>
      <c r="D391" s="13">
        <f t="shared" ca="1" si="38"/>
        <v>0.35203848743376054</v>
      </c>
      <c r="E391" s="14">
        <f t="shared" ca="1" si="39"/>
        <v>5.6108235826772566</v>
      </c>
      <c r="F391" s="13">
        <f t="shared" ca="1" si="40"/>
        <v>0.85895366496975412</v>
      </c>
      <c r="G391" s="10">
        <f t="shared" ref="G391:G454" ca="1" si="41">_xlfn.LOGNORM.INV(F391, $R$6, $R$7)</f>
        <v>6.3304930696252999</v>
      </c>
    </row>
    <row r="392" spans="1:7">
      <c r="A392" s="8">
        <v>387</v>
      </c>
      <c r="B392" s="9">
        <f t="shared" ca="1" si="36"/>
        <v>0.99338759233042839</v>
      </c>
      <c r="C392" s="10">
        <f t="shared" ca="1" si="37"/>
        <v>75.282111673634233</v>
      </c>
      <c r="D392" s="9">
        <f t="shared" ca="1" si="38"/>
        <v>0.23225289149043138</v>
      </c>
      <c r="E392" s="10">
        <f t="shared" ca="1" si="39"/>
        <v>5.0452844892042616</v>
      </c>
      <c r="F392" s="9">
        <f t="shared" ca="1" si="40"/>
        <v>0.39523333431072549</v>
      </c>
      <c r="G392" s="10">
        <f t="shared" ca="1" si="41"/>
        <v>2.8308505088208986</v>
      </c>
    </row>
    <row r="393" spans="1:7">
      <c r="A393" s="8">
        <v>388</v>
      </c>
      <c r="B393" s="13">
        <f t="shared" ca="1" si="36"/>
        <v>4.2932944187199173E-2</v>
      </c>
      <c r="C393" s="14">
        <f t="shared" ca="1" si="37"/>
        <v>0.65822731820966351</v>
      </c>
      <c r="D393" s="13">
        <f t="shared" ca="1" si="38"/>
        <v>0.10440779003991008</v>
      </c>
      <c r="E393" s="14">
        <f t="shared" ca="1" si="39"/>
        <v>4.3708903022191024</v>
      </c>
      <c r="F393" s="13">
        <f t="shared" ca="1" si="40"/>
        <v>0.45019229745372458</v>
      </c>
      <c r="G393" s="10">
        <f t="shared" ca="1" si="41"/>
        <v>3.0798924773093965</v>
      </c>
    </row>
    <row r="394" spans="1:7">
      <c r="A394" s="8">
        <v>389</v>
      </c>
      <c r="B394" s="9">
        <f t="shared" ca="1" si="36"/>
        <v>0.46408499396909542</v>
      </c>
      <c r="C394" s="10">
        <f t="shared" ca="1" si="37"/>
        <v>9.356695519843262</v>
      </c>
      <c r="D394" s="9">
        <f t="shared" ca="1" si="38"/>
        <v>0.77072572895835678</v>
      </c>
      <c r="E394" s="10">
        <f t="shared" ca="1" si="39"/>
        <v>8.199437005439389</v>
      </c>
      <c r="F394" s="9">
        <f t="shared" ca="1" si="40"/>
        <v>0.37374957140869502</v>
      </c>
      <c r="G394" s="10">
        <f t="shared" ca="1" si="41"/>
        <v>2.7369298151703028</v>
      </c>
    </row>
    <row r="395" spans="1:7">
      <c r="A395" s="8">
        <v>390</v>
      </c>
      <c r="B395" s="13">
        <f t="shared" ca="1" si="36"/>
        <v>0.19907979831162081</v>
      </c>
      <c r="C395" s="14">
        <f t="shared" ca="1" si="37"/>
        <v>3.3299094035526</v>
      </c>
      <c r="D395" s="13">
        <f t="shared" ca="1" si="38"/>
        <v>0.18296947079322379</v>
      </c>
      <c r="E395" s="14">
        <f t="shared" ca="1" si="39"/>
        <v>4.8147866194894728</v>
      </c>
      <c r="F395" s="13">
        <f t="shared" ca="1" si="40"/>
        <v>3.2932014753714767E-2</v>
      </c>
      <c r="G395" s="10">
        <f t="shared" ca="1" si="41"/>
        <v>1.1011898203377948</v>
      </c>
    </row>
    <row r="396" spans="1:7">
      <c r="A396" s="8">
        <v>391</v>
      </c>
      <c r="B396" s="9">
        <f t="shared" ca="1" si="36"/>
        <v>0.39212895962101424</v>
      </c>
      <c r="C396" s="10">
        <f t="shared" ca="1" si="37"/>
        <v>7.4668878622974972</v>
      </c>
      <c r="D396" s="9">
        <f t="shared" ca="1" si="38"/>
        <v>0.98233598781807951</v>
      </c>
      <c r="E396" s="10">
        <f t="shared" ca="1" si="39"/>
        <v>10.945091109402812</v>
      </c>
      <c r="F396" s="9">
        <f t="shared" ca="1" si="40"/>
        <v>6.8210677926685448E-2</v>
      </c>
      <c r="G396" s="10">
        <f t="shared" ca="1" si="41"/>
        <v>1.3585929386351043</v>
      </c>
    </row>
    <row r="397" spans="1:7">
      <c r="A397" s="8">
        <v>392</v>
      </c>
      <c r="B397" s="13">
        <f t="shared" ca="1" si="36"/>
        <v>0.43514518693084914</v>
      </c>
      <c r="C397" s="14">
        <f t="shared" ca="1" si="37"/>
        <v>8.5677982331525513</v>
      </c>
      <c r="D397" s="13">
        <f t="shared" ca="1" si="38"/>
        <v>0.18130060191530128</v>
      </c>
      <c r="E397" s="14">
        <f t="shared" ca="1" si="39"/>
        <v>4.8064913048435702</v>
      </c>
      <c r="F397" s="13">
        <f t="shared" ca="1" si="40"/>
        <v>0.17850113106058552</v>
      </c>
      <c r="G397" s="10">
        <f t="shared" ca="1" si="41"/>
        <v>1.9104611360896595</v>
      </c>
    </row>
    <row r="398" spans="1:7">
      <c r="A398" s="8">
        <v>393</v>
      </c>
      <c r="B398" s="9">
        <f t="shared" ca="1" si="36"/>
        <v>0.40252861337050361</v>
      </c>
      <c r="C398" s="10">
        <f t="shared" ca="1" si="37"/>
        <v>7.7257332721403991</v>
      </c>
      <c r="D398" s="9">
        <f t="shared" ca="1" si="38"/>
        <v>0.26961933860985754</v>
      </c>
      <c r="E398" s="10">
        <f t="shared" ca="1" si="39"/>
        <v>5.2166393529770971</v>
      </c>
      <c r="F398" s="9">
        <f t="shared" ca="1" si="40"/>
        <v>1.6464714313705553E-2</v>
      </c>
      <c r="G398" s="10">
        <f t="shared" ca="1" si="41"/>
        <v>0.92333274295795975</v>
      </c>
    </row>
    <row r="399" spans="1:7">
      <c r="A399" s="8">
        <v>394</v>
      </c>
      <c r="B399" s="13">
        <f t="shared" ca="1" si="36"/>
        <v>0.15163281991518907</v>
      </c>
      <c r="C399" s="14">
        <f t="shared" ca="1" si="37"/>
        <v>2.4666261228397772</v>
      </c>
      <c r="D399" s="13">
        <f t="shared" ca="1" si="38"/>
        <v>0.3082144046518932</v>
      </c>
      <c r="E399" s="14">
        <f t="shared" ca="1" si="39"/>
        <v>5.3982962421106224</v>
      </c>
      <c r="F399" s="13">
        <f t="shared" ca="1" si="40"/>
        <v>0.27031438308043088</v>
      </c>
      <c r="G399" s="10">
        <f t="shared" ca="1" si="41"/>
        <v>2.2999388347397778</v>
      </c>
    </row>
    <row r="400" spans="1:7">
      <c r="A400" s="8">
        <v>395</v>
      </c>
      <c r="B400" s="9">
        <f t="shared" ca="1" si="36"/>
        <v>0.44845397335897663</v>
      </c>
      <c r="C400" s="10">
        <f t="shared" ca="1" si="37"/>
        <v>8.9254497986939807</v>
      </c>
      <c r="D400" s="9">
        <f t="shared" ca="1" si="38"/>
        <v>0.42318474330041855</v>
      </c>
      <c r="E400" s="10">
        <f t="shared" ca="1" si="39"/>
        <v>5.9717862370289465</v>
      </c>
      <c r="F400" s="9">
        <f t="shared" ca="1" si="40"/>
        <v>0.61292201513500544</v>
      </c>
      <c r="G400" s="10">
        <f t="shared" ca="1" si="41"/>
        <v>3.9438830998409951</v>
      </c>
    </row>
    <row r="401" spans="1:7">
      <c r="A401" s="8">
        <v>396</v>
      </c>
      <c r="B401" s="13">
        <f t="shared" ca="1" si="36"/>
        <v>0.74429352666835946</v>
      </c>
      <c r="C401" s="14">
        <f t="shared" ca="1" si="37"/>
        <v>20.455876213295937</v>
      </c>
      <c r="D401" s="13">
        <f t="shared" ca="1" si="38"/>
        <v>0.21446970956028732</v>
      </c>
      <c r="E401" s="14">
        <f t="shared" ca="1" si="39"/>
        <v>4.9648040034785073</v>
      </c>
      <c r="F401" s="13">
        <f t="shared" ca="1" si="40"/>
        <v>0.92803513279666383</v>
      </c>
      <c r="G401" s="10">
        <f t="shared" ca="1" si="41"/>
        <v>7.9787952345917734</v>
      </c>
    </row>
    <row r="402" spans="1:7">
      <c r="A402" s="8">
        <v>397</v>
      </c>
      <c r="B402" s="9">
        <f t="shared" ca="1" si="36"/>
        <v>0.69878195252540831</v>
      </c>
      <c r="C402" s="10">
        <f t="shared" ca="1" si="37"/>
        <v>17.998812994156545</v>
      </c>
      <c r="D402" s="9">
        <f t="shared" ca="1" si="38"/>
        <v>0.35228888163174843</v>
      </c>
      <c r="E402" s="10">
        <f t="shared" ca="1" si="39"/>
        <v>5.6120581986683806</v>
      </c>
      <c r="F402" s="9">
        <f t="shared" ca="1" si="40"/>
        <v>0.93576267161782511</v>
      </c>
      <c r="G402" s="10">
        <f t="shared" ca="1" si="41"/>
        <v>8.2654709740509009</v>
      </c>
    </row>
    <row r="403" spans="1:7">
      <c r="A403" s="8">
        <v>398</v>
      </c>
      <c r="B403" s="13">
        <f t="shared" ca="1" si="36"/>
        <v>0.18164459916924569</v>
      </c>
      <c r="C403" s="14">
        <f t="shared" ca="1" si="37"/>
        <v>3.0068784208987789</v>
      </c>
      <c r="D403" s="13">
        <f t="shared" ca="1" si="38"/>
        <v>0.51442620723325339</v>
      </c>
      <c r="E403" s="14">
        <f t="shared" ca="1" si="39"/>
        <v>6.4690734099696243</v>
      </c>
      <c r="F403" s="13">
        <f t="shared" ca="1" si="40"/>
        <v>0.25699028648670041</v>
      </c>
      <c r="G403" s="10">
        <f t="shared" ca="1" si="41"/>
        <v>2.2443337908488448</v>
      </c>
    </row>
    <row r="404" spans="1:7">
      <c r="A404" s="8">
        <v>399</v>
      </c>
      <c r="B404" s="9">
        <f t="shared" ca="1" si="36"/>
        <v>0.20967853991775176</v>
      </c>
      <c r="C404" s="10">
        <f t="shared" ca="1" si="37"/>
        <v>3.5297325718587689</v>
      </c>
      <c r="D404" s="9">
        <f t="shared" ca="1" si="38"/>
        <v>0.50083340830973222</v>
      </c>
      <c r="E404" s="10">
        <f t="shared" ca="1" si="39"/>
        <v>6.3921933631332406</v>
      </c>
      <c r="F404" s="9">
        <f t="shared" ca="1" si="40"/>
        <v>0.80305527428465473</v>
      </c>
      <c r="G404" s="10">
        <f t="shared" ca="1" si="41"/>
        <v>5.5375437441226234</v>
      </c>
    </row>
    <row r="405" spans="1:7">
      <c r="A405" s="8">
        <v>400</v>
      </c>
      <c r="B405" s="13">
        <f t="shared" ca="1" si="36"/>
        <v>0.57467437768261898</v>
      </c>
      <c r="C405" s="14">
        <f t="shared" ca="1" si="37"/>
        <v>12.823503498865506</v>
      </c>
      <c r="D405" s="13">
        <f t="shared" ca="1" si="38"/>
        <v>0.32235211622282567</v>
      </c>
      <c r="E405" s="14">
        <f t="shared" ca="1" si="39"/>
        <v>5.4661024894813375</v>
      </c>
      <c r="F405" s="13">
        <f t="shared" ca="1" si="40"/>
        <v>0.48029021288903584</v>
      </c>
      <c r="G405" s="10">
        <f t="shared" ca="1" si="41"/>
        <v>3.223103981905092</v>
      </c>
    </row>
    <row r="406" spans="1:7">
      <c r="A406" s="8">
        <v>401</v>
      </c>
      <c r="B406" s="9">
        <f t="shared" ca="1" si="36"/>
        <v>0.36845943220081179</v>
      </c>
      <c r="C406" s="10">
        <f t="shared" ca="1" si="37"/>
        <v>6.89389648314231</v>
      </c>
      <c r="D406" s="9">
        <f t="shared" ca="1" si="38"/>
        <v>0.24209731351508368</v>
      </c>
      <c r="E406" s="10">
        <f t="shared" ca="1" si="39"/>
        <v>5.090016696941321</v>
      </c>
      <c r="F406" s="9">
        <f t="shared" ca="1" si="40"/>
        <v>0.77620915996892248</v>
      </c>
      <c r="G406" s="10">
        <f t="shared" ca="1" si="41"/>
        <v>5.2365963668669444</v>
      </c>
    </row>
    <row r="407" spans="1:7">
      <c r="A407" s="8">
        <v>402</v>
      </c>
      <c r="B407" s="13">
        <f t="shared" ca="1" si="36"/>
        <v>0.79166202340943026</v>
      </c>
      <c r="C407" s="14">
        <f t="shared" ca="1" si="37"/>
        <v>23.528904457912141</v>
      </c>
      <c r="D407" s="13">
        <f t="shared" ca="1" si="38"/>
        <v>0.96979765864861134</v>
      </c>
      <c r="E407" s="14">
        <f t="shared" ca="1" si="39"/>
        <v>10.620598859962236</v>
      </c>
      <c r="F407" s="13">
        <f t="shared" ca="1" si="40"/>
        <v>0.883223948869721</v>
      </c>
      <c r="G407" s="10">
        <f t="shared" ca="1" si="41"/>
        <v>6.7852770662073079</v>
      </c>
    </row>
    <row r="408" spans="1:7">
      <c r="A408" s="8">
        <v>403</v>
      </c>
      <c r="B408" s="9">
        <f t="shared" ca="1" si="36"/>
        <v>0.69209791523610353</v>
      </c>
      <c r="C408" s="10">
        <f t="shared" ca="1" si="37"/>
        <v>17.669601797434609</v>
      </c>
      <c r="D408" s="9">
        <f t="shared" ca="1" si="38"/>
        <v>0.39030992499796002</v>
      </c>
      <c r="E408" s="10">
        <f t="shared" ca="1" si="39"/>
        <v>5.8023815279473263</v>
      </c>
      <c r="F408" s="9">
        <f t="shared" ca="1" si="40"/>
        <v>4.7678500494012899E-2</v>
      </c>
      <c r="G408" s="10">
        <f t="shared" ca="1" si="41"/>
        <v>1.2205782585130283</v>
      </c>
    </row>
    <row r="409" spans="1:7">
      <c r="A409" s="8">
        <v>404</v>
      </c>
      <c r="B409" s="13">
        <f t="shared" ca="1" si="36"/>
        <v>0.70385544068083072</v>
      </c>
      <c r="C409" s="14">
        <f t="shared" ca="1" si="37"/>
        <v>18.253613516948782</v>
      </c>
      <c r="D409" s="13">
        <f t="shared" ca="1" si="38"/>
        <v>0.43330710485572022</v>
      </c>
      <c r="E409" s="14">
        <f t="shared" ca="1" si="39"/>
        <v>6.0249140262177292</v>
      </c>
      <c r="F409" s="13">
        <f t="shared" ca="1" si="40"/>
        <v>0.22016598497468753</v>
      </c>
      <c r="G409" s="10">
        <f t="shared" ca="1" si="41"/>
        <v>2.0896996518794761</v>
      </c>
    </row>
    <row r="410" spans="1:7">
      <c r="A410" s="8">
        <v>405</v>
      </c>
      <c r="B410" s="9">
        <f t="shared" ca="1" si="36"/>
        <v>0.25476802599702975</v>
      </c>
      <c r="C410" s="10">
        <f t="shared" ca="1" si="37"/>
        <v>4.4108960185338821</v>
      </c>
      <c r="D410" s="9">
        <f t="shared" ca="1" si="38"/>
        <v>5.373154865428087E-2</v>
      </c>
      <c r="E410" s="10">
        <f t="shared" ca="1" si="39"/>
        <v>3.9834469359233653</v>
      </c>
      <c r="F410" s="9">
        <f t="shared" ca="1" si="40"/>
        <v>3.8318678390820704E-3</v>
      </c>
      <c r="G410" s="10">
        <f t="shared" ca="1" si="41"/>
        <v>0.67037252838213912</v>
      </c>
    </row>
    <row r="411" spans="1:7">
      <c r="A411" s="8">
        <v>406</v>
      </c>
      <c r="B411" s="13">
        <f t="shared" ca="1" si="36"/>
        <v>5.6072809452585415E-2</v>
      </c>
      <c r="C411" s="14">
        <f t="shared" ca="1" si="37"/>
        <v>0.86559366702906015</v>
      </c>
      <c r="D411" s="13">
        <f t="shared" ca="1" si="38"/>
        <v>0.92804449930180521</v>
      </c>
      <c r="E411" s="14">
        <f t="shared" ca="1" si="39"/>
        <v>9.8708695333572738</v>
      </c>
      <c r="F411" s="13">
        <f t="shared" ca="1" si="40"/>
        <v>0.76583076798458283</v>
      </c>
      <c r="G411" s="10">
        <f t="shared" ca="1" si="41"/>
        <v>5.1300277987940586</v>
      </c>
    </row>
    <row r="412" spans="1:7">
      <c r="A412" s="8">
        <v>407</v>
      </c>
      <c r="B412" s="9">
        <f t="shared" ca="1" si="36"/>
        <v>0.99283052562749519</v>
      </c>
      <c r="C412" s="10">
        <f t="shared" ca="1" si="37"/>
        <v>74.06884404497923</v>
      </c>
      <c r="D412" s="9">
        <f t="shared" ca="1" si="38"/>
        <v>0.99769483572914663</v>
      </c>
      <c r="E412" s="10">
        <f t="shared" ca="1" si="39"/>
        <v>11.618915561766475</v>
      </c>
      <c r="F412" s="9">
        <f t="shared" ca="1" si="40"/>
        <v>0.5727252311547556</v>
      </c>
      <c r="G412" s="10">
        <f t="shared" ca="1" si="41"/>
        <v>3.7061367078673531</v>
      </c>
    </row>
    <row r="413" spans="1:7">
      <c r="A413" s="8">
        <v>408</v>
      </c>
      <c r="B413" s="13">
        <f t="shared" ca="1" si="36"/>
        <v>0.19961408964431349</v>
      </c>
      <c r="C413" s="14">
        <f t="shared" ca="1" si="37"/>
        <v>3.339919195218942</v>
      </c>
      <c r="D413" s="13">
        <f t="shared" ca="1" si="38"/>
        <v>0.40013393752484994</v>
      </c>
      <c r="E413" s="14">
        <f t="shared" ca="1" si="39"/>
        <v>5.8525158043363419</v>
      </c>
      <c r="F413" s="13">
        <f t="shared" ca="1" si="40"/>
        <v>0.14663015773725985</v>
      </c>
      <c r="G413" s="10">
        <f t="shared" ca="1" si="41"/>
        <v>1.767210393325982</v>
      </c>
    </row>
    <row r="414" spans="1:7">
      <c r="A414" s="8">
        <v>409</v>
      </c>
      <c r="B414" s="9">
        <f t="shared" ca="1" si="36"/>
        <v>0.61516220141240063</v>
      </c>
      <c r="C414" s="10">
        <f t="shared" ca="1" si="37"/>
        <v>14.324000037555034</v>
      </c>
      <c r="D414" s="9">
        <f t="shared" ca="1" si="38"/>
        <v>0.52570856700294144</v>
      </c>
      <c r="E414" s="10">
        <f t="shared" ca="1" si="39"/>
        <v>6.5337068978315216</v>
      </c>
      <c r="F414" s="9">
        <f t="shared" ca="1" si="40"/>
        <v>6.107526112507633E-2</v>
      </c>
      <c r="G414" s="10">
        <f t="shared" ca="1" si="41"/>
        <v>1.3132620434662303</v>
      </c>
    </row>
    <row r="415" spans="1:7">
      <c r="A415" s="8">
        <v>410</v>
      </c>
      <c r="B415" s="13">
        <f t="shared" ca="1" si="36"/>
        <v>0.81908101187645899</v>
      </c>
      <c r="C415" s="14">
        <f t="shared" ca="1" si="37"/>
        <v>25.645588910067467</v>
      </c>
      <c r="D415" s="13">
        <f t="shared" ca="1" si="38"/>
        <v>0.81851603986672239</v>
      </c>
      <c r="E415" s="14">
        <f t="shared" ca="1" si="39"/>
        <v>8.6186556684660918</v>
      </c>
      <c r="F415" s="13">
        <f t="shared" ca="1" si="40"/>
        <v>0.18835590019186688</v>
      </c>
      <c r="G415" s="10">
        <f t="shared" ca="1" si="41"/>
        <v>1.9534896260348635</v>
      </c>
    </row>
    <row r="416" spans="1:7">
      <c r="A416" s="8">
        <v>411</v>
      </c>
      <c r="B416" s="9">
        <f t="shared" ca="1" si="36"/>
        <v>0.5755726523923872</v>
      </c>
      <c r="C416" s="10">
        <f t="shared" ca="1" si="37"/>
        <v>12.855216540519619</v>
      </c>
      <c r="D416" s="9">
        <f t="shared" ca="1" si="38"/>
        <v>0.78486461650318462</v>
      </c>
      <c r="E416" s="10">
        <f t="shared" ca="1" si="39"/>
        <v>8.3184881963656068</v>
      </c>
      <c r="F416" s="9">
        <f t="shared" ca="1" si="40"/>
        <v>0.3418771259500748</v>
      </c>
      <c r="G416" s="10">
        <f t="shared" ca="1" si="41"/>
        <v>2.6002112774121713</v>
      </c>
    </row>
    <row r="417" spans="1:7">
      <c r="A417" s="8">
        <v>412</v>
      </c>
      <c r="B417" s="13">
        <f t="shared" ca="1" si="36"/>
        <v>0.45344572743130318</v>
      </c>
      <c r="C417" s="14">
        <f t="shared" ca="1" si="37"/>
        <v>9.0618250039510055</v>
      </c>
      <c r="D417" s="13">
        <f t="shared" ca="1" si="38"/>
        <v>0.74470748984274215</v>
      </c>
      <c r="E417" s="14">
        <f t="shared" ca="1" si="39"/>
        <v>7.9895850414318419</v>
      </c>
      <c r="F417" s="13">
        <f t="shared" ca="1" si="40"/>
        <v>0.46628211542927422</v>
      </c>
      <c r="G417" s="10">
        <f t="shared" ca="1" si="41"/>
        <v>3.1557574700744153</v>
      </c>
    </row>
    <row r="418" spans="1:7">
      <c r="A418" s="8">
        <v>413</v>
      </c>
      <c r="B418" s="9">
        <f t="shared" ca="1" si="36"/>
        <v>0.59158905292526243</v>
      </c>
      <c r="C418" s="10">
        <f t="shared" ca="1" si="37"/>
        <v>13.432220823968063</v>
      </c>
      <c r="D418" s="9">
        <f t="shared" ca="1" si="38"/>
        <v>0.97654529210121732</v>
      </c>
      <c r="E418" s="10">
        <f t="shared" ca="1" si="39"/>
        <v>10.784415121176925</v>
      </c>
      <c r="F418" s="9">
        <f t="shared" ca="1" si="40"/>
        <v>1.9986227413048896E-2</v>
      </c>
      <c r="G418" s="10">
        <f t="shared" ca="1" si="41"/>
        <v>0.96809983000735533</v>
      </c>
    </row>
    <row r="419" spans="1:7">
      <c r="A419" s="8">
        <v>414</v>
      </c>
      <c r="B419" s="13">
        <f t="shared" ca="1" si="36"/>
        <v>0.85606546557791008</v>
      </c>
      <c r="C419" s="14">
        <f t="shared" ca="1" si="37"/>
        <v>29.075950572703505</v>
      </c>
      <c r="D419" s="13">
        <f t="shared" ca="1" si="38"/>
        <v>0.78765359606109975</v>
      </c>
      <c r="E419" s="14">
        <f t="shared" ca="1" si="39"/>
        <v>8.3424292969033793</v>
      </c>
      <c r="F419" s="13">
        <f t="shared" ca="1" si="40"/>
        <v>0.8108735329069755</v>
      </c>
      <c r="G419" s="10">
        <f t="shared" ca="1" si="41"/>
        <v>5.6331677113726908</v>
      </c>
    </row>
    <row r="420" spans="1:7">
      <c r="A420" s="8">
        <v>415</v>
      </c>
      <c r="B420" s="9">
        <f t="shared" ca="1" si="36"/>
        <v>0.14244023131988415</v>
      </c>
      <c r="C420" s="10">
        <f t="shared" ca="1" si="37"/>
        <v>2.3049660192954988</v>
      </c>
      <c r="D420" s="9">
        <f t="shared" ca="1" si="38"/>
        <v>0.63322102641318534</v>
      </c>
      <c r="E420" s="10">
        <f t="shared" ca="1" si="39"/>
        <v>7.1930180636942973</v>
      </c>
      <c r="F420" s="9">
        <f t="shared" ca="1" si="40"/>
        <v>0.6993751418587093</v>
      </c>
      <c r="G420" s="10">
        <f t="shared" ca="1" si="41"/>
        <v>4.542886126522661</v>
      </c>
    </row>
    <row r="421" spans="1:7">
      <c r="A421" s="8">
        <v>416</v>
      </c>
      <c r="B421" s="13">
        <f t="shared" ca="1" si="36"/>
        <v>0.47548429873195897</v>
      </c>
      <c r="C421" s="14">
        <f t="shared" ca="1" si="37"/>
        <v>9.6791987385967406</v>
      </c>
      <c r="D421" s="13">
        <f t="shared" ca="1" si="38"/>
        <v>0.55862822366347642</v>
      </c>
      <c r="E421" s="14">
        <f t="shared" ca="1" si="39"/>
        <v>6.7268205123283558</v>
      </c>
      <c r="F421" s="13">
        <f t="shared" ca="1" si="40"/>
        <v>4.7363711102032857E-2</v>
      </c>
      <c r="G421" s="10">
        <f t="shared" ca="1" si="41"/>
        <v>1.2182524929389771</v>
      </c>
    </row>
    <row r="422" spans="1:7">
      <c r="A422" s="8">
        <v>417</v>
      </c>
      <c r="B422" s="9">
        <f t="shared" ca="1" si="36"/>
        <v>0.12810339537534488</v>
      </c>
      <c r="C422" s="10">
        <f t="shared" ca="1" si="37"/>
        <v>2.0562665217240141</v>
      </c>
      <c r="D422" s="9">
        <f t="shared" ca="1" si="38"/>
        <v>0.76187663250210502</v>
      </c>
      <c r="E422" s="10">
        <f t="shared" ca="1" si="39"/>
        <v>8.1267878766626556</v>
      </c>
      <c r="F422" s="9">
        <f t="shared" ca="1" si="40"/>
        <v>0.14317114727685887</v>
      </c>
      <c r="G422" s="10">
        <f t="shared" ca="1" si="41"/>
        <v>1.7511838021862094</v>
      </c>
    </row>
    <row r="423" spans="1:7">
      <c r="A423" s="8">
        <v>418</v>
      </c>
      <c r="B423" s="13">
        <f t="shared" ca="1" si="36"/>
        <v>0.77849453972464588</v>
      </c>
      <c r="C423" s="14">
        <f t="shared" ca="1" si="37"/>
        <v>22.609620576671787</v>
      </c>
      <c r="D423" s="13">
        <f t="shared" ca="1" si="38"/>
        <v>0.67404765663778543</v>
      </c>
      <c r="E423" s="14">
        <f t="shared" ca="1" si="39"/>
        <v>7.4684442371499475</v>
      </c>
      <c r="F423" s="13">
        <f t="shared" ca="1" si="40"/>
        <v>0.37341601535337987</v>
      </c>
      <c r="G423" s="10">
        <f t="shared" ca="1" si="41"/>
        <v>2.7354839537194828</v>
      </c>
    </row>
    <row r="424" spans="1:7">
      <c r="A424" s="8">
        <v>419</v>
      </c>
      <c r="B424" s="9">
        <f t="shared" ca="1" si="36"/>
        <v>0.32150847190774712</v>
      </c>
      <c r="C424" s="10">
        <f t="shared" ca="1" si="37"/>
        <v>5.8182492902428038</v>
      </c>
      <c r="D424" s="9">
        <f t="shared" ca="1" si="38"/>
        <v>0.58932460154386623</v>
      </c>
      <c r="E424" s="10">
        <f t="shared" ca="1" si="39"/>
        <v>6.913493330119735</v>
      </c>
      <c r="F424" s="9">
        <f t="shared" ca="1" si="40"/>
        <v>4.9552636243123227E-2</v>
      </c>
      <c r="G424" s="10">
        <f t="shared" ca="1" si="41"/>
        <v>1.2342653214480159</v>
      </c>
    </row>
    <row r="425" spans="1:7">
      <c r="A425" s="8">
        <v>420</v>
      </c>
      <c r="B425" s="13">
        <f t="shared" ca="1" si="36"/>
        <v>0.72290850041048671</v>
      </c>
      <c r="C425" s="14">
        <f t="shared" ca="1" si="37"/>
        <v>19.251112558675874</v>
      </c>
      <c r="D425" s="13">
        <f t="shared" ca="1" si="38"/>
        <v>0.46891092422202807</v>
      </c>
      <c r="E425" s="14">
        <f t="shared" ca="1" si="39"/>
        <v>6.215658051773544</v>
      </c>
      <c r="F425" s="13">
        <f t="shared" ca="1" si="40"/>
        <v>0.29157663799366162</v>
      </c>
      <c r="G425" s="10">
        <f t="shared" ca="1" si="41"/>
        <v>2.3886521108728829</v>
      </c>
    </row>
    <row r="426" spans="1:7">
      <c r="A426" s="8">
        <v>421</v>
      </c>
      <c r="B426" s="9">
        <f t="shared" ca="1" si="36"/>
        <v>0.11348335693561762</v>
      </c>
      <c r="C426" s="10">
        <f t="shared" ca="1" si="37"/>
        <v>1.8068306961271408</v>
      </c>
      <c r="D426" s="9">
        <f t="shared" ca="1" si="38"/>
        <v>0.59778245388423457</v>
      </c>
      <c r="E426" s="10">
        <f t="shared" ca="1" si="39"/>
        <v>6.9661440817904587</v>
      </c>
      <c r="F426" s="9">
        <f t="shared" ca="1" si="40"/>
        <v>0.62141001350781122</v>
      </c>
      <c r="G426" s="10">
        <f t="shared" ca="1" si="41"/>
        <v>3.996870401057234</v>
      </c>
    </row>
    <row r="427" spans="1:7">
      <c r="A427" s="8">
        <v>422</v>
      </c>
      <c r="B427" s="13">
        <f t="shared" ca="1" si="36"/>
        <v>0.69500465076528706</v>
      </c>
      <c r="C427" s="14">
        <f t="shared" ca="1" si="37"/>
        <v>17.811881263526413</v>
      </c>
      <c r="D427" s="13">
        <f t="shared" ca="1" si="38"/>
        <v>5.4716501769258685E-2</v>
      </c>
      <c r="E427" s="14">
        <f t="shared" ca="1" si="39"/>
        <v>3.9924197861019581</v>
      </c>
      <c r="F427" s="13">
        <f t="shared" ca="1" si="40"/>
        <v>3.0537751954949788E-2</v>
      </c>
      <c r="G427" s="10">
        <f t="shared" ca="1" si="41"/>
        <v>1.0792117681250328</v>
      </c>
    </row>
    <row r="428" spans="1:7">
      <c r="A428" s="8">
        <v>423</v>
      </c>
      <c r="B428" s="9">
        <f t="shared" ca="1" si="36"/>
        <v>0.54268469637054828</v>
      </c>
      <c r="C428" s="10">
        <f t="shared" ca="1" si="37"/>
        <v>11.735732755384596</v>
      </c>
      <c r="D428" s="9">
        <f t="shared" ca="1" si="38"/>
        <v>0.86069615074926431</v>
      </c>
      <c r="E428" s="10">
        <f t="shared" ca="1" si="39"/>
        <v>9.0375445146304152</v>
      </c>
      <c r="F428" s="9">
        <f t="shared" ca="1" si="40"/>
        <v>0.92799422071951709</v>
      </c>
      <c r="G428" s="10">
        <f t="shared" ca="1" si="41"/>
        <v>7.9773676556933548</v>
      </c>
    </row>
    <row r="429" spans="1:7">
      <c r="A429" s="8">
        <v>424</v>
      </c>
      <c r="B429" s="13">
        <f t="shared" ca="1" si="36"/>
        <v>0.22925907555212643</v>
      </c>
      <c r="C429" s="14">
        <f t="shared" ca="1" si="37"/>
        <v>3.9060448087112509</v>
      </c>
      <c r="D429" s="13">
        <f t="shared" ca="1" si="38"/>
        <v>0.66134134968181624</v>
      </c>
      <c r="E429" s="14">
        <f t="shared" ca="1" si="39"/>
        <v>7.3809638483720894</v>
      </c>
      <c r="F429" s="13">
        <f t="shared" ca="1" si="40"/>
        <v>0.2742600267376254</v>
      </c>
      <c r="G429" s="10">
        <f t="shared" ca="1" si="41"/>
        <v>2.3163957929317665</v>
      </c>
    </row>
    <row r="430" spans="1:7">
      <c r="A430" s="8">
        <v>425</v>
      </c>
      <c r="B430" s="9">
        <f t="shared" ca="1" si="36"/>
        <v>0.21749770415591307</v>
      </c>
      <c r="C430" s="10">
        <f t="shared" ca="1" si="37"/>
        <v>3.67887633879119</v>
      </c>
      <c r="D430" s="9">
        <f t="shared" ca="1" si="38"/>
        <v>0.84268420061808658</v>
      </c>
      <c r="E430" s="10">
        <f t="shared" ca="1" si="39"/>
        <v>8.8518425450653613</v>
      </c>
      <c r="F430" s="9">
        <f t="shared" ca="1" si="40"/>
        <v>0.73330939321345512</v>
      </c>
      <c r="G430" s="10">
        <f t="shared" ca="1" si="41"/>
        <v>4.8245222778271382</v>
      </c>
    </row>
    <row r="431" spans="1:7">
      <c r="A431" s="8">
        <v>426</v>
      </c>
      <c r="B431" s="13">
        <f t="shared" ca="1" si="36"/>
        <v>0.1840529668334635</v>
      </c>
      <c r="C431" s="14">
        <f t="shared" ca="1" si="37"/>
        <v>3.0510875468988576</v>
      </c>
      <c r="D431" s="13">
        <f t="shared" ca="1" si="38"/>
        <v>0.10963229867921076</v>
      </c>
      <c r="E431" s="14">
        <f t="shared" ca="1" si="39"/>
        <v>4.4047709337204388</v>
      </c>
      <c r="F431" s="13">
        <f t="shared" ca="1" si="40"/>
        <v>0.47421135276775472</v>
      </c>
      <c r="G431" s="10">
        <f t="shared" ca="1" si="41"/>
        <v>3.1937233071987743</v>
      </c>
    </row>
    <row r="432" spans="1:7">
      <c r="A432" s="8">
        <v>427</v>
      </c>
      <c r="B432" s="9">
        <f t="shared" ca="1" si="36"/>
        <v>0.60578215990602025</v>
      </c>
      <c r="C432" s="10">
        <f t="shared" ca="1" si="37"/>
        <v>13.962774432510512</v>
      </c>
      <c r="D432" s="9">
        <f t="shared" ca="1" si="38"/>
        <v>0.6570538554803752</v>
      </c>
      <c r="E432" s="10">
        <f t="shared" ca="1" si="39"/>
        <v>7.3518167952697517</v>
      </c>
      <c r="F432" s="9">
        <f t="shared" ca="1" si="40"/>
        <v>5.972211770185587E-2</v>
      </c>
      <c r="G432" s="10">
        <f t="shared" ca="1" si="41"/>
        <v>1.3043875975331825</v>
      </c>
    </row>
    <row r="433" spans="1:7">
      <c r="A433" s="8">
        <v>428</v>
      </c>
      <c r="B433" s="13">
        <f t="shared" ca="1" si="36"/>
        <v>0.71463171616881693</v>
      </c>
      <c r="C433" s="14">
        <f t="shared" ca="1" si="37"/>
        <v>18.809620634208635</v>
      </c>
      <c r="D433" s="13">
        <f t="shared" ca="1" si="38"/>
        <v>6.7596700203105264E-3</v>
      </c>
      <c r="E433" s="14">
        <f t="shared" ca="1" si="39"/>
        <v>3.3488180906512586</v>
      </c>
      <c r="F433" s="13">
        <f t="shared" ca="1" si="40"/>
        <v>0.86810721642340793</v>
      </c>
      <c r="G433" s="10">
        <f t="shared" ca="1" si="41"/>
        <v>6.4914960821000012</v>
      </c>
    </row>
    <row r="434" spans="1:7">
      <c r="A434" s="8">
        <v>429</v>
      </c>
      <c r="B434" s="9">
        <f t="shared" ca="1" si="36"/>
        <v>0.82069671435148595</v>
      </c>
      <c r="C434" s="10">
        <f t="shared" ca="1" si="37"/>
        <v>25.780148605090854</v>
      </c>
      <c r="D434" s="9">
        <f t="shared" ca="1" si="38"/>
        <v>0.53152983697694745</v>
      </c>
      <c r="E434" s="10">
        <f t="shared" ca="1" si="39"/>
        <v>6.5673560515663914</v>
      </c>
      <c r="F434" s="9">
        <f t="shared" ca="1" si="40"/>
        <v>0.68546727062359691</v>
      </c>
      <c r="G434" s="10">
        <f t="shared" ca="1" si="41"/>
        <v>4.4363216925295408</v>
      </c>
    </row>
    <row r="435" spans="1:7">
      <c r="A435" s="8">
        <v>430</v>
      </c>
      <c r="B435" s="13">
        <f t="shared" ca="1" si="36"/>
        <v>0.50638987759866327</v>
      </c>
      <c r="C435" s="14">
        <f t="shared" ca="1" si="37"/>
        <v>10.590139489577515</v>
      </c>
      <c r="D435" s="13">
        <f t="shared" ca="1" si="38"/>
        <v>0.44779284693342425</v>
      </c>
      <c r="E435" s="14">
        <f t="shared" ca="1" si="39"/>
        <v>6.1017756364144411</v>
      </c>
      <c r="F435" s="13">
        <f t="shared" ca="1" si="40"/>
        <v>0.11769238439972074</v>
      </c>
      <c r="G435" s="10">
        <f t="shared" ca="1" si="41"/>
        <v>1.6291183610646736</v>
      </c>
    </row>
    <row r="436" spans="1:7">
      <c r="A436" s="8">
        <v>431</v>
      </c>
      <c r="B436" s="9">
        <f t="shared" ca="1" si="36"/>
        <v>0.84938526546293658</v>
      </c>
      <c r="C436" s="10">
        <f t="shared" ca="1" si="37"/>
        <v>28.395451942660987</v>
      </c>
      <c r="D436" s="9">
        <f t="shared" ca="1" si="38"/>
        <v>0.22221420005899029</v>
      </c>
      <c r="E436" s="10">
        <f t="shared" ca="1" si="39"/>
        <v>4.9999638999396527</v>
      </c>
      <c r="F436" s="9">
        <f t="shared" ca="1" si="40"/>
        <v>0.11335619579153888</v>
      </c>
      <c r="G436" s="10">
        <f t="shared" ca="1" si="41"/>
        <v>1.6074954918789859</v>
      </c>
    </row>
    <row r="437" spans="1:7">
      <c r="A437" s="8">
        <v>432</v>
      </c>
      <c r="B437" s="13">
        <f t="shared" ca="1" si="36"/>
        <v>0.18909917936720799</v>
      </c>
      <c r="C437" s="14">
        <f t="shared" ca="1" si="37"/>
        <v>3.1441428754452145</v>
      </c>
      <c r="D437" s="13">
        <f t="shared" ca="1" si="38"/>
        <v>0.59713819493500697</v>
      </c>
      <c r="E437" s="14">
        <f t="shared" ca="1" si="39"/>
        <v>6.9621141617644255</v>
      </c>
      <c r="F437" s="13">
        <f t="shared" ca="1" si="40"/>
        <v>0.57847675633469975</v>
      </c>
      <c r="G437" s="10">
        <f t="shared" ca="1" si="41"/>
        <v>3.7389278839206979</v>
      </c>
    </row>
    <row r="438" spans="1:7">
      <c r="A438" s="8">
        <v>433</v>
      </c>
      <c r="B438" s="9">
        <f t="shared" ca="1" si="36"/>
        <v>0.3521653487351275</v>
      </c>
      <c r="C438" s="10">
        <f t="shared" ca="1" si="37"/>
        <v>6.5117967448774126</v>
      </c>
      <c r="D438" s="9">
        <f t="shared" ca="1" si="38"/>
        <v>0.76923432659829749</v>
      </c>
      <c r="E438" s="10">
        <f t="shared" ca="1" si="39"/>
        <v>8.1870959329787407</v>
      </c>
      <c r="F438" s="9">
        <f t="shared" ca="1" si="40"/>
        <v>0.67494176855605736</v>
      </c>
      <c r="G438" s="10">
        <f t="shared" ca="1" si="41"/>
        <v>4.3586406979229135</v>
      </c>
    </row>
    <row r="439" spans="1:7">
      <c r="A439" s="8">
        <v>434</v>
      </c>
      <c r="B439" s="13">
        <f t="shared" ca="1" si="36"/>
        <v>0.96447727137039219</v>
      </c>
      <c r="C439" s="14">
        <f t="shared" ca="1" si="37"/>
        <v>50.063738164220844</v>
      </c>
      <c r="D439" s="13">
        <f t="shared" ca="1" si="38"/>
        <v>0.8045254018146224</v>
      </c>
      <c r="E439" s="14">
        <f t="shared" ca="1" si="39"/>
        <v>8.4907408637037385</v>
      </c>
      <c r="F439" s="13">
        <f t="shared" ca="1" si="40"/>
        <v>0.84269151491627869</v>
      </c>
      <c r="G439" s="10">
        <f t="shared" ca="1" si="41"/>
        <v>6.0699407621096135</v>
      </c>
    </row>
    <row r="440" spans="1:7">
      <c r="A440" s="8">
        <v>435</v>
      </c>
      <c r="B440" s="9">
        <f t="shared" ca="1" si="36"/>
        <v>0.1529552367231839</v>
      </c>
      <c r="C440" s="10">
        <f t="shared" ca="1" si="37"/>
        <v>2.4900260478200833</v>
      </c>
      <c r="D440" s="9">
        <f t="shared" ca="1" si="38"/>
        <v>0.58040058627910118</v>
      </c>
      <c r="E440" s="10">
        <f t="shared" ca="1" si="39"/>
        <v>6.8585252053115511</v>
      </c>
      <c r="F440" s="9">
        <f t="shared" ca="1" si="40"/>
        <v>0.63348692625271907</v>
      </c>
      <c r="G440" s="10">
        <f t="shared" ca="1" si="41"/>
        <v>4.0741482913743159</v>
      </c>
    </row>
    <row r="441" spans="1:7">
      <c r="A441" s="8">
        <v>436</v>
      </c>
      <c r="B441" s="13">
        <f t="shared" ca="1" si="36"/>
        <v>0.77609862612539637</v>
      </c>
      <c r="C441" s="14">
        <f t="shared" ca="1" si="37"/>
        <v>22.448244289322304</v>
      </c>
      <c r="D441" s="13">
        <f t="shared" ca="1" si="38"/>
        <v>0.35141507969380459</v>
      </c>
      <c r="E441" s="14">
        <f t="shared" ca="1" si="39"/>
        <v>5.6077507887058795</v>
      </c>
      <c r="F441" s="13">
        <f t="shared" ca="1" si="40"/>
        <v>0.52004029028754117</v>
      </c>
      <c r="G441" s="10">
        <f t="shared" ca="1" si="41"/>
        <v>3.4217524159154151</v>
      </c>
    </row>
    <row r="442" spans="1:7">
      <c r="A442" s="8">
        <v>437</v>
      </c>
      <c r="B442" s="9">
        <f t="shared" ca="1" si="36"/>
        <v>0.36676882097270391</v>
      </c>
      <c r="C442" s="10">
        <f t="shared" ca="1" si="37"/>
        <v>6.8537956766707211</v>
      </c>
      <c r="D442" s="9">
        <f t="shared" ca="1" si="38"/>
        <v>0.3068809522410163</v>
      </c>
      <c r="E442" s="10">
        <f t="shared" ca="1" si="39"/>
        <v>5.3919367429771095</v>
      </c>
      <c r="F442" s="9">
        <f t="shared" ca="1" si="40"/>
        <v>1.7620307501124532E-2</v>
      </c>
      <c r="G442" s="10">
        <f t="shared" ca="1" si="41"/>
        <v>0.93861524659186413</v>
      </c>
    </row>
    <row r="443" spans="1:7">
      <c r="A443" s="8">
        <v>438</v>
      </c>
      <c r="B443" s="13">
        <f t="shared" ca="1" si="36"/>
        <v>0.90361880448894361</v>
      </c>
      <c r="C443" s="14">
        <f t="shared" ca="1" si="37"/>
        <v>35.091662455596492</v>
      </c>
      <c r="D443" s="13">
        <f t="shared" ca="1" si="38"/>
        <v>0.43867488602113824</v>
      </c>
      <c r="E443" s="14">
        <f t="shared" ca="1" si="39"/>
        <v>6.0532797122558142</v>
      </c>
      <c r="F443" s="13">
        <f t="shared" ca="1" si="40"/>
        <v>0.52178826412713974</v>
      </c>
      <c r="G443" s="10">
        <f t="shared" ca="1" si="41"/>
        <v>3.4307721587173905</v>
      </c>
    </row>
    <row r="444" spans="1:7">
      <c r="A444" s="8">
        <v>439</v>
      </c>
      <c r="B444" s="9">
        <f t="shared" ca="1" si="36"/>
        <v>0.612257465359208</v>
      </c>
      <c r="C444" s="10">
        <f t="shared" ca="1" si="37"/>
        <v>14.211205951989655</v>
      </c>
      <c r="D444" s="9">
        <f t="shared" ca="1" si="38"/>
        <v>0.69389852401357621</v>
      </c>
      <c r="E444" s="10">
        <f t="shared" ca="1" si="39"/>
        <v>7.6086001107682417</v>
      </c>
      <c r="F444" s="9">
        <f t="shared" ca="1" si="40"/>
        <v>0.95748993694664775</v>
      </c>
      <c r="G444" s="10">
        <f t="shared" ca="1" si="41"/>
        <v>9.3312001038946519</v>
      </c>
    </row>
    <row r="445" spans="1:7">
      <c r="A445" s="8">
        <v>440</v>
      </c>
      <c r="B445" s="13">
        <f t="shared" ca="1" si="36"/>
        <v>0.98263066279457834</v>
      </c>
      <c r="C445" s="14">
        <f t="shared" ca="1" si="37"/>
        <v>60.795732853323663</v>
      </c>
      <c r="D445" s="13">
        <f t="shared" ca="1" si="38"/>
        <v>0.61228620580853876</v>
      </c>
      <c r="E445" s="14">
        <f t="shared" ca="1" si="39"/>
        <v>7.0577364463171275</v>
      </c>
      <c r="F445" s="13">
        <f t="shared" ca="1" si="40"/>
        <v>0.17481938113890194</v>
      </c>
      <c r="G445" s="10">
        <f t="shared" ca="1" si="41"/>
        <v>1.8942554852364359</v>
      </c>
    </row>
    <row r="446" spans="1:7">
      <c r="A446" s="8">
        <v>441</v>
      </c>
      <c r="B446" s="9">
        <f t="shared" ca="1" si="36"/>
        <v>0.31976928924093506</v>
      </c>
      <c r="C446" s="10">
        <f t="shared" ca="1" si="37"/>
        <v>5.7798488673985702</v>
      </c>
      <c r="D446" s="9">
        <f t="shared" ca="1" si="38"/>
        <v>0.66941067498795503</v>
      </c>
      <c r="E446" s="10">
        <f t="shared" ca="1" si="39"/>
        <v>7.4363252223938181</v>
      </c>
      <c r="F446" s="9">
        <f t="shared" ca="1" si="40"/>
        <v>0.86002307942956557</v>
      </c>
      <c r="G446" s="10">
        <f t="shared" ca="1" si="41"/>
        <v>6.348723843553798</v>
      </c>
    </row>
    <row r="447" spans="1:7">
      <c r="A447" s="8">
        <v>442</v>
      </c>
      <c r="B447" s="13">
        <f t="shared" ca="1" si="36"/>
        <v>0.49715636178654865</v>
      </c>
      <c r="C447" s="14">
        <f t="shared" ca="1" si="37"/>
        <v>10.312140234471819</v>
      </c>
      <c r="D447" s="13">
        <f t="shared" ca="1" si="38"/>
        <v>0.91346560144082511</v>
      </c>
      <c r="E447" s="14">
        <f t="shared" ca="1" si="39"/>
        <v>9.6651194657481909</v>
      </c>
      <c r="F447" s="13">
        <f t="shared" ca="1" si="40"/>
        <v>0.47673123203088819</v>
      </c>
      <c r="G447" s="10">
        <f t="shared" ca="1" si="41"/>
        <v>3.2058730093963281</v>
      </c>
    </row>
    <row r="448" spans="1:7">
      <c r="A448" s="8">
        <v>443</v>
      </c>
      <c r="B448" s="9">
        <f t="shared" ca="1" si="36"/>
        <v>0.61943674075622679</v>
      </c>
      <c r="C448" s="10">
        <f t="shared" ca="1" si="37"/>
        <v>14.491542938379206</v>
      </c>
      <c r="D448" s="9">
        <f t="shared" ca="1" si="38"/>
        <v>0.47371100055007698</v>
      </c>
      <c r="E448" s="10">
        <f t="shared" ca="1" si="39"/>
        <v>6.2418573337103611</v>
      </c>
      <c r="F448" s="9">
        <f t="shared" ca="1" si="40"/>
        <v>0.29454606208313261</v>
      </c>
      <c r="G448" s="10">
        <f t="shared" ca="1" si="41"/>
        <v>2.4010561991452084</v>
      </c>
    </row>
    <row r="449" spans="1:7">
      <c r="A449" s="8">
        <v>444</v>
      </c>
      <c r="B449" s="13">
        <f t="shared" ca="1" si="36"/>
        <v>0.88113533013598888</v>
      </c>
      <c r="C449" s="14">
        <f t="shared" ca="1" si="37"/>
        <v>31.946544915579011</v>
      </c>
      <c r="D449" s="13">
        <f t="shared" ca="1" si="38"/>
        <v>6.4821311196276876E-2</v>
      </c>
      <c r="E449" s="14">
        <f t="shared" ca="1" si="39"/>
        <v>4.0801775787031431</v>
      </c>
      <c r="F449" s="13">
        <f t="shared" ca="1" si="40"/>
        <v>0.76561014114347503</v>
      </c>
      <c r="G449" s="10">
        <f t="shared" ca="1" si="41"/>
        <v>5.1278146599845629</v>
      </c>
    </row>
    <row r="450" spans="1:7">
      <c r="A450" s="8">
        <v>445</v>
      </c>
      <c r="B450" s="9">
        <f t="shared" ca="1" si="36"/>
        <v>0.68887574590405731</v>
      </c>
      <c r="C450" s="10">
        <f t="shared" ca="1" si="37"/>
        <v>17.513443736084724</v>
      </c>
      <c r="D450" s="9">
        <f t="shared" ca="1" si="38"/>
        <v>0.70516003036088193</v>
      </c>
      <c r="E450" s="10">
        <f t="shared" ca="1" si="39"/>
        <v>7.6901371150273894</v>
      </c>
      <c r="F450" s="9">
        <f t="shared" ca="1" si="40"/>
        <v>0.21853525194156509</v>
      </c>
      <c r="G450" s="10">
        <f t="shared" ca="1" si="41"/>
        <v>2.0827939347117796</v>
      </c>
    </row>
    <row r="451" spans="1:7">
      <c r="A451" s="8">
        <v>446</v>
      </c>
      <c r="B451" s="13">
        <f t="shared" ca="1" si="36"/>
        <v>0.74013538999035522</v>
      </c>
      <c r="C451" s="14">
        <f t="shared" ca="1" si="37"/>
        <v>20.213917714891171</v>
      </c>
      <c r="D451" s="13">
        <f t="shared" ca="1" si="38"/>
        <v>0.65980668950945554</v>
      </c>
      <c r="E451" s="14">
        <f t="shared" ca="1" si="39"/>
        <v>7.3705099027102019</v>
      </c>
      <c r="F451" s="13">
        <f t="shared" ca="1" si="40"/>
        <v>0.88053405906210791</v>
      </c>
      <c r="G451" s="10">
        <f t="shared" ca="1" si="41"/>
        <v>6.7301433784678295</v>
      </c>
    </row>
    <row r="452" spans="1:7">
      <c r="A452" s="8">
        <v>447</v>
      </c>
      <c r="B452" s="9">
        <f t="shared" ca="1" si="36"/>
        <v>0.24612789323073403</v>
      </c>
      <c r="C452" s="10">
        <f t="shared" ca="1" si="37"/>
        <v>4.2379881754594875</v>
      </c>
      <c r="D452" s="9">
        <f t="shared" ca="1" si="38"/>
        <v>0.35339841845056197</v>
      </c>
      <c r="E452" s="10">
        <f t="shared" ca="1" si="39"/>
        <v>5.6175318537720376</v>
      </c>
      <c r="F452" s="9">
        <f t="shared" ca="1" si="40"/>
        <v>0.77229393638374177</v>
      </c>
      <c r="G452" s="10">
        <f t="shared" ca="1" si="41"/>
        <v>5.1958155708957756</v>
      </c>
    </row>
    <row r="453" spans="1:7">
      <c r="A453" s="8">
        <v>448</v>
      </c>
      <c r="B453" s="13">
        <f t="shared" ca="1" si="36"/>
        <v>0.32396895079027621</v>
      </c>
      <c r="C453" s="14">
        <f t="shared" ca="1" si="37"/>
        <v>5.8727440981551604</v>
      </c>
      <c r="D453" s="13">
        <f t="shared" ca="1" si="38"/>
        <v>0.51485682058614313</v>
      </c>
      <c r="E453" s="14">
        <f t="shared" ca="1" si="39"/>
        <v>6.471526403873038</v>
      </c>
      <c r="F453" s="13">
        <f t="shared" ca="1" si="40"/>
        <v>0.87108309070917533</v>
      </c>
      <c r="G453" s="10">
        <f t="shared" ca="1" si="41"/>
        <v>6.5464016070671702</v>
      </c>
    </row>
    <row r="454" spans="1:7">
      <c r="A454" s="8">
        <v>449</v>
      </c>
      <c r="B454" s="9">
        <f t="shared" ref="B454:B517" ca="1" si="42">RAND()</f>
        <v>0.39699843677176339</v>
      </c>
      <c r="C454" s="10">
        <f t="shared" ref="C454:C517" ca="1" si="43">-$J$6 * LN(1 - B454)</f>
        <v>7.5875323476001357</v>
      </c>
      <c r="D454" s="9">
        <f t="shared" ref="D454:D517" ca="1" si="44">RAND()</f>
        <v>0.18216259928958678</v>
      </c>
      <c r="E454" s="10">
        <f t="shared" ref="E454:E517" ca="1" si="45">IF(D454&lt;=$N$9, $N$6+SQRT(D454*($N$8-$N$6)*($N$7-$N$6)), $N$8-SQRT((1-D454)*($N$8-$N$6)*($N$8-$N$7)))</f>
        <v>4.8107807120721606</v>
      </c>
      <c r="F454" s="9">
        <f t="shared" ref="F454:F517" ca="1" si="46">RAND()</f>
        <v>5.3904597891642703E-2</v>
      </c>
      <c r="G454" s="10">
        <f t="shared" ca="1" si="41"/>
        <v>1.2650717136467005</v>
      </c>
    </row>
    <row r="455" spans="1:7">
      <c r="A455" s="8">
        <v>450</v>
      </c>
      <c r="B455" s="13">
        <f t="shared" ca="1" si="42"/>
        <v>0.93255768420430096</v>
      </c>
      <c r="C455" s="14">
        <f t="shared" ca="1" si="43"/>
        <v>40.447239409056849</v>
      </c>
      <c r="D455" s="13">
        <f t="shared" ca="1" si="44"/>
        <v>0.3906110905106609</v>
      </c>
      <c r="E455" s="14">
        <f t="shared" ca="1" si="45"/>
        <v>5.8039124200969878</v>
      </c>
      <c r="F455" s="13">
        <f t="shared" ca="1" si="46"/>
        <v>0.3874692713534581</v>
      </c>
      <c r="G455" s="10">
        <f t="shared" ref="G455:G518" ca="1" si="47">_xlfn.LOGNORM.INV(F455, $R$6, $R$7)</f>
        <v>2.796720084714198</v>
      </c>
    </row>
    <row r="456" spans="1:7">
      <c r="A456" s="8">
        <v>451</v>
      </c>
      <c r="B456" s="9">
        <f t="shared" ca="1" si="42"/>
        <v>0.85042923623579925</v>
      </c>
      <c r="C456" s="10">
        <f t="shared" ca="1" si="43"/>
        <v>28.499784928863832</v>
      </c>
      <c r="D456" s="9">
        <f t="shared" ca="1" si="44"/>
        <v>0.51369611693421013</v>
      </c>
      <c r="E456" s="10">
        <f t="shared" ca="1" si="45"/>
        <v>6.464916926265265</v>
      </c>
      <c r="F456" s="9">
        <f t="shared" ca="1" si="46"/>
        <v>0.15688604723886435</v>
      </c>
      <c r="G456" s="10">
        <f t="shared" ca="1" si="47"/>
        <v>1.814113375692908</v>
      </c>
    </row>
    <row r="457" spans="1:7">
      <c r="A457" s="8">
        <v>452</v>
      </c>
      <c r="B457" s="13">
        <f t="shared" ca="1" si="42"/>
        <v>0.46218718082269472</v>
      </c>
      <c r="C457" s="14">
        <f t="shared" ca="1" si="43"/>
        <v>9.3036704865488211</v>
      </c>
      <c r="D457" s="13">
        <f t="shared" ca="1" si="44"/>
        <v>0.6484240675760542</v>
      </c>
      <c r="E457" s="14">
        <f t="shared" ca="1" si="45"/>
        <v>7.2936974446271963</v>
      </c>
      <c r="F457" s="13">
        <f t="shared" ca="1" si="46"/>
        <v>0.11175953033195152</v>
      </c>
      <c r="G457" s="10">
        <f t="shared" ca="1" si="47"/>
        <v>1.5994593947248477</v>
      </c>
    </row>
    <row r="458" spans="1:7">
      <c r="A458" s="8">
        <v>453</v>
      </c>
      <c r="B458" s="9">
        <f t="shared" ca="1" si="42"/>
        <v>7.8620595379077174E-2</v>
      </c>
      <c r="C458" s="10">
        <f t="shared" ca="1" si="43"/>
        <v>1.2282506849613291</v>
      </c>
      <c r="D458" s="9">
        <f t="shared" ca="1" si="44"/>
        <v>6.7231105709193106E-2</v>
      </c>
      <c r="E458" s="10">
        <f t="shared" ca="1" si="45"/>
        <v>4.1000726806740886</v>
      </c>
      <c r="F458" s="9">
        <f t="shared" ca="1" si="46"/>
        <v>0.76968318772916189</v>
      </c>
      <c r="G458" s="10">
        <f t="shared" ca="1" si="47"/>
        <v>5.1690159840704633</v>
      </c>
    </row>
    <row r="459" spans="1:7">
      <c r="A459" s="8">
        <v>454</v>
      </c>
      <c r="B459" s="13">
        <f t="shared" ca="1" si="42"/>
        <v>6.1886628181322068E-2</v>
      </c>
      <c r="C459" s="14">
        <f t="shared" ca="1" si="43"/>
        <v>0.9582670770183167</v>
      </c>
      <c r="D459" s="13">
        <f t="shared" ca="1" si="44"/>
        <v>0.53061751186698303</v>
      </c>
      <c r="E459" s="14">
        <f t="shared" ca="1" si="45"/>
        <v>6.562068706541055</v>
      </c>
      <c r="F459" s="13">
        <f t="shared" ca="1" si="46"/>
        <v>0.39179902912109188</v>
      </c>
      <c r="G459" s="10">
        <f t="shared" ca="1" si="47"/>
        <v>2.8157258555062215</v>
      </c>
    </row>
    <row r="460" spans="1:7">
      <c r="A460" s="8">
        <v>455</v>
      </c>
      <c r="B460" s="9">
        <f t="shared" ca="1" si="42"/>
        <v>0.88703233788458957</v>
      </c>
      <c r="C460" s="10">
        <f t="shared" ca="1" si="43"/>
        <v>32.709805157936593</v>
      </c>
      <c r="D460" s="9">
        <f t="shared" ca="1" si="44"/>
        <v>0.542393828905957</v>
      </c>
      <c r="E460" s="10">
        <f t="shared" ca="1" si="45"/>
        <v>6.6307180387946927</v>
      </c>
      <c r="F460" s="9">
        <f t="shared" ca="1" si="46"/>
        <v>0.87564893876682792</v>
      </c>
      <c r="G460" s="10">
        <f t="shared" ca="1" si="47"/>
        <v>6.6333139905066467</v>
      </c>
    </row>
    <row r="461" spans="1:7">
      <c r="A461" s="8">
        <v>456</v>
      </c>
      <c r="B461" s="13">
        <f t="shared" ca="1" si="42"/>
        <v>0.21824052345867062</v>
      </c>
      <c r="C461" s="14">
        <f t="shared" ca="1" si="43"/>
        <v>3.6931224075446347</v>
      </c>
      <c r="D461" s="13">
        <f t="shared" ca="1" si="44"/>
        <v>7.2876493880330462E-2</v>
      </c>
      <c r="E461" s="14">
        <f t="shared" ca="1" si="45"/>
        <v>4.1453282891145005</v>
      </c>
      <c r="F461" s="13">
        <f t="shared" ca="1" si="46"/>
        <v>0.82185172536996765</v>
      </c>
      <c r="G461" s="10">
        <f t="shared" ca="1" si="47"/>
        <v>5.7745882242778599</v>
      </c>
    </row>
    <row r="462" spans="1:7">
      <c r="A462" s="8">
        <v>457</v>
      </c>
      <c r="B462" s="9">
        <f t="shared" ca="1" si="42"/>
        <v>0.40348786852048202</v>
      </c>
      <c r="C462" s="10">
        <f t="shared" ca="1" si="43"/>
        <v>7.7498354982218567</v>
      </c>
      <c r="D462" s="9">
        <f t="shared" ca="1" si="44"/>
        <v>0.66778030851902237</v>
      </c>
      <c r="E462" s="10">
        <f t="shared" ca="1" si="45"/>
        <v>7.4250857315899799</v>
      </c>
      <c r="F462" s="9">
        <f t="shared" ca="1" si="46"/>
        <v>0.11329755191432689</v>
      </c>
      <c r="G462" s="10">
        <f t="shared" ca="1" si="47"/>
        <v>1.607201059014179</v>
      </c>
    </row>
    <row r="463" spans="1:7">
      <c r="A463" s="8">
        <v>458</v>
      </c>
      <c r="B463" s="13">
        <f t="shared" ca="1" si="42"/>
        <v>0.76751543207618489</v>
      </c>
      <c r="C463" s="14">
        <f t="shared" ca="1" si="43"/>
        <v>21.883971460182561</v>
      </c>
      <c r="D463" s="13">
        <f t="shared" ca="1" si="44"/>
        <v>0.62621521964198168</v>
      </c>
      <c r="E463" s="14">
        <f t="shared" ca="1" si="45"/>
        <v>7.1473263902715285</v>
      </c>
      <c r="F463" s="13">
        <f t="shared" ca="1" si="46"/>
        <v>0.12154648556829151</v>
      </c>
      <c r="G463" s="10">
        <f t="shared" ca="1" si="47"/>
        <v>1.6481040182633224</v>
      </c>
    </row>
    <row r="464" spans="1:7">
      <c r="A464" s="8">
        <v>459</v>
      </c>
      <c r="B464" s="9">
        <f t="shared" ca="1" si="42"/>
        <v>0.84513276344979782</v>
      </c>
      <c r="C464" s="10">
        <f t="shared" ca="1" si="43"/>
        <v>27.97780601230934</v>
      </c>
      <c r="D464" s="9">
        <f t="shared" ca="1" si="44"/>
        <v>0.39424365967843822</v>
      </c>
      <c r="E464" s="10">
        <f t="shared" ca="1" si="45"/>
        <v>5.8224074721410775</v>
      </c>
      <c r="F464" s="9">
        <f t="shared" ca="1" si="46"/>
        <v>0.75616610953143515</v>
      </c>
      <c r="G464" s="10">
        <f t="shared" ca="1" si="47"/>
        <v>5.0350013990741989</v>
      </c>
    </row>
    <row r="465" spans="1:7">
      <c r="A465" s="8">
        <v>460</v>
      </c>
      <c r="B465" s="13">
        <f t="shared" ca="1" si="42"/>
        <v>0.27799850801625481</v>
      </c>
      <c r="C465" s="14">
        <f t="shared" ca="1" si="43"/>
        <v>4.8859211044794764</v>
      </c>
      <c r="D465" s="13">
        <f t="shared" ca="1" si="44"/>
        <v>0.63846369793160207</v>
      </c>
      <c r="E465" s="14">
        <f t="shared" ca="1" si="45"/>
        <v>7.227496775243722</v>
      </c>
      <c r="F465" s="13">
        <f t="shared" ca="1" si="46"/>
        <v>0.61441781524207817</v>
      </c>
      <c r="G465" s="10">
        <f t="shared" ca="1" si="47"/>
        <v>3.9531443999396743</v>
      </c>
    </row>
    <row r="466" spans="1:7">
      <c r="A466" s="8">
        <v>461</v>
      </c>
      <c r="B466" s="9">
        <f t="shared" ca="1" si="42"/>
        <v>0.42704920254716139</v>
      </c>
      <c r="C466" s="10">
        <f t="shared" ca="1" si="43"/>
        <v>8.3543315141091909</v>
      </c>
      <c r="D466" s="9">
        <f t="shared" ca="1" si="44"/>
        <v>0.8837366057210716</v>
      </c>
      <c r="E466" s="10">
        <f t="shared" ca="1" si="45"/>
        <v>9.2936013154798331</v>
      </c>
      <c r="F466" s="9">
        <f t="shared" ca="1" si="46"/>
        <v>0.98388009886938588</v>
      </c>
      <c r="G466" s="10">
        <f t="shared" ca="1" si="47"/>
        <v>11.999378289048222</v>
      </c>
    </row>
    <row r="467" spans="1:7">
      <c r="A467" s="8">
        <v>462</v>
      </c>
      <c r="B467" s="13">
        <f t="shared" ca="1" si="42"/>
        <v>0.46237426245834656</v>
      </c>
      <c r="C467" s="14">
        <f t="shared" ca="1" si="43"/>
        <v>9.3088892404154233</v>
      </c>
      <c r="D467" s="13">
        <f t="shared" ca="1" si="44"/>
        <v>0.31481367167422214</v>
      </c>
      <c r="E467" s="14">
        <f t="shared" ca="1" si="45"/>
        <v>5.4298600711610403</v>
      </c>
      <c r="F467" s="13">
        <f t="shared" ca="1" si="46"/>
        <v>0.23564202766380338</v>
      </c>
      <c r="G467" s="10">
        <f t="shared" ca="1" si="47"/>
        <v>2.1549449359799882</v>
      </c>
    </row>
    <row r="468" spans="1:7">
      <c r="A468" s="8">
        <v>463</v>
      </c>
      <c r="B468" s="9">
        <f t="shared" ca="1" si="42"/>
        <v>0.16783012825335386</v>
      </c>
      <c r="C468" s="10">
        <f t="shared" ca="1" si="43"/>
        <v>2.7557802934341162</v>
      </c>
      <c r="D468" s="9">
        <f t="shared" ca="1" si="44"/>
        <v>0.76744140925560578</v>
      </c>
      <c r="E468" s="10">
        <f t="shared" ca="1" si="45"/>
        <v>8.1723125497375264</v>
      </c>
      <c r="F468" s="9">
        <f t="shared" ca="1" si="46"/>
        <v>0.66420007946915038</v>
      </c>
      <c r="G468" s="10">
        <f t="shared" ca="1" si="47"/>
        <v>4.2817936766895359</v>
      </c>
    </row>
    <row r="469" spans="1:7">
      <c r="A469" s="8">
        <v>464</v>
      </c>
      <c r="B469" s="13">
        <f t="shared" ca="1" si="42"/>
        <v>0.64856129570414189</v>
      </c>
      <c r="C469" s="14">
        <f t="shared" ca="1" si="43"/>
        <v>15.68579949246776</v>
      </c>
      <c r="D469" s="13">
        <f t="shared" ca="1" si="44"/>
        <v>0.62839178702207765</v>
      </c>
      <c r="E469" s="14">
        <f t="shared" ca="1" si="45"/>
        <v>7.1614756983550132</v>
      </c>
      <c r="F469" s="13">
        <f t="shared" ca="1" si="46"/>
        <v>0.41753156602230623</v>
      </c>
      <c r="G469" s="10">
        <f t="shared" ca="1" si="47"/>
        <v>2.930205519980797</v>
      </c>
    </row>
    <row r="470" spans="1:7">
      <c r="A470" s="8">
        <v>465</v>
      </c>
      <c r="B470" s="9">
        <f t="shared" ca="1" si="42"/>
        <v>0.64770394044221091</v>
      </c>
      <c r="C470" s="10">
        <f t="shared" ca="1" si="43"/>
        <v>15.649250679045087</v>
      </c>
      <c r="D470" s="9">
        <f t="shared" ca="1" si="44"/>
        <v>2.6795837081412088E-2</v>
      </c>
      <c r="E470" s="10">
        <f t="shared" ca="1" si="45"/>
        <v>3.6944962688635683</v>
      </c>
      <c r="F470" s="9">
        <f t="shared" ca="1" si="46"/>
        <v>0.72663313214533809</v>
      </c>
      <c r="G470" s="10">
        <f t="shared" ca="1" si="47"/>
        <v>4.7664273775438666</v>
      </c>
    </row>
    <row r="471" spans="1:7">
      <c r="A471" s="8">
        <v>466</v>
      </c>
      <c r="B471" s="13">
        <f t="shared" ca="1" si="42"/>
        <v>0.92159038844303975</v>
      </c>
      <c r="C471" s="14">
        <f t="shared" ca="1" si="43"/>
        <v>38.187131441254486</v>
      </c>
      <c r="D471" s="13">
        <f t="shared" ca="1" si="44"/>
        <v>0.577361210020781</v>
      </c>
      <c r="E471" s="14">
        <f t="shared" ca="1" si="45"/>
        <v>6.8399376196899713</v>
      </c>
      <c r="F471" s="13">
        <f t="shared" ca="1" si="46"/>
        <v>0.19914777050697052</v>
      </c>
      <c r="G471" s="10">
        <f t="shared" ca="1" si="47"/>
        <v>2.0001025593201693</v>
      </c>
    </row>
    <row r="472" spans="1:7">
      <c r="A472" s="8">
        <v>467</v>
      </c>
      <c r="B472" s="9">
        <f t="shared" ca="1" si="42"/>
        <v>0.51035976744926159</v>
      </c>
      <c r="C472" s="10">
        <f t="shared" ca="1" si="43"/>
        <v>10.711265652489859</v>
      </c>
      <c r="D472" s="9">
        <f t="shared" ca="1" si="44"/>
        <v>0.38479695956178661</v>
      </c>
      <c r="E472" s="10">
        <f t="shared" ca="1" si="45"/>
        <v>5.7744244002977965</v>
      </c>
      <c r="F472" s="9">
        <f t="shared" ca="1" si="46"/>
        <v>0.4792414080385089</v>
      </c>
      <c r="G472" s="10">
        <f t="shared" ca="1" si="47"/>
        <v>3.2180173948606554</v>
      </c>
    </row>
    <row r="473" spans="1:7">
      <c r="A473" s="8">
        <v>468</v>
      </c>
      <c r="B473" s="13">
        <f t="shared" ca="1" si="42"/>
        <v>0.33056545114217917</v>
      </c>
      <c r="C473" s="14">
        <f t="shared" ca="1" si="43"/>
        <v>6.0198281978684962</v>
      </c>
      <c r="D473" s="13">
        <f t="shared" ca="1" si="44"/>
        <v>0.70730791186468267</v>
      </c>
      <c r="E473" s="14">
        <f t="shared" ca="1" si="45"/>
        <v>7.7058642834063811</v>
      </c>
      <c r="F473" s="13">
        <f t="shared" ca="1" si="46"/>
        <v>0.3512472561559139</v>
      </c>
      <c r="G473" s="10">
        <f t="shared" ca="1" si="47"/>
        <v>2.640126448404394</v>
      </c>
    </row>
    <row r="474" spans="1:7">
      <c r="A474" s="8">
        <v>469</v>
      </c>
      <c r="B474" s="9">
        <f t="shared" ca="1" si="42"/>
        <v>0.29865380092915927</v>
      </c>
      <c r="C474" s="10">
        <f t="shared" ca="1" si="43"/>
        <v>5.3213047391722537</v>
      </c>
      <c r="D474" s="9">
        <f t="shared" ca="1" si="44"/>
        <v>0.87041414735523648</v>
      </c>
      <c r="E474" s="10">
        <f t="shared" ca="1" si="45"/>
        <v>9.1427445482386247</v>
      </c>
      <c r="F474" s="9">
        <f t="shared" ca="1" si="46"/>
        <v>0.64000426021692081</v>
      </c>
      <c r="G474" s="10">
        <f t="shared" ca="1" si="47"/>
        <v>4.1168244779156655</v>
      </c>
    </row>
    <row r="475" spans="1:7">
      <c r="A475" s="8">
        <v>470</v>
      </c>
      <c r="B475" s="13">
        <f t="shared" ca="1" si="42"/>
        <v>0.47312881817653196</v>
      </c>
      <c r="C475" s="14">
        <f t="shared" ca="1" si="43"/>
        <v>9.6119879563188508</v>
      </c>
      <c r="D475" s="13">
        <f t="shared" ca="1" si="44"/>
        <v>7.6026422354803391E-2</v>
      </c>
      <c r="E475" s="14">
        <f t="shared" ca="1" si="45"/>
        <v>4.1698186194391251</v>
      </c>
      <c r="F475" s="13">
        <f t="shared" ca="1" si="46"/>
        <v>4.8947853942260533E-3</v>
      </c>
      <c r="G475" s="10">
        <f t="shared" ca="1" si="47"/>
        <v>0.70475512066747958</v>
      </c>
    </row>
    <row r="476" spans="1:7">
      <c r="A476" s="8">
        <v>471</v>
      </c>
      <c r="B476" s="9">
        <f t="shared" ca="1" si="42"/>
        <v>0.10576682874702037</v>
      </c>
      <c r="C476" s="10">
        <f t="shared" ca="1" si="43"/>
        <v>1.6768307978904007</v>
      </c>
      <c r="D476" s="9">
        <f t="shared" ca="1" si="44"/>
        <v>0.86055625559214532</v>
      </c>
      <c r="E476" s="10">
        <f t="shared" ca="1" si="45"/>
        <v>9.0360573727389983</v>
      </c>
      <c r="F476" s="9">
        <f t="shared" ca="1" si="46"/>
        <v>0.39084953083754992</v>
      </c>
      <c r="G476" s="10">
        <f t="shared" ca="1" si="47"/>
        <v>2.8115520758754768</v>
      </c>
    </row>
    <row r="477" spans="1:7">
      <c r="A477" s="8">
        <v>472</v>
      </c>
      <c r="B477" s="13">
        <f t="shared" ca="1" si="42"/>
        <v>0.42075926387554574</v>
      </c>
      <c r="C477" s="14">
        <f t="shared" ca="1" si="43"/>
        <v>8.1905566301580528</v>
      </c>
      <c r="D477" s="13">
        <f t="shared" ca="1" si="44"/>
        <v>0.58953979106900356</v>
      </c>
      <c r="E477" s="14">
        <f t="shared" ca="1" si="45"/>
        <v>6.9148261423376312</v>
      </c>
      <c r="F477" s="13">
        <f t="shared" ca="1" si="46"/>
        <v>0.46546661048688209</v>
      </c>
      <c r="G477" s="10">
        <f t="shared" ca="1" si="47"/>
        <v>3.1518750995560363</v>
      </c>
    </row>
    <row r="478" spans="1:7">
      <c r="A478" s="8">
        <v>473</v>
      </c>
      <c r="B478" s="9">
        <f t="shared" ca="1" si="42"/>
        <v>0.17579279969521866</v>
      </c>
      <c r="C478" s="10">
        <f t="shared" ca="1" si="43"/>
        <v>2.8999998600305652</v>
      </c>
      <c r="D478" s="9">
        <f t="shared" ca="1" si="44"/>
        <v>0.42079408247043604</v>
      </c>
      <c r="E478" s="10">
        <f t="shared" ca="1" si="45"/>
        <v>5.959306926820191</v>
      </c>
      <c r="F478" s="9">
        <f t="shared" ca="1" si="46"/>
        <v>0.23931360466717411</v>
      </c>
      <c r="G478" s="10">
        <f t="shared" ca="1" si="47"/>
        <v>2.1703591301529874</v>
      </c>
    </row>
    <row r="479" spans="1:7">
      <c r="A479" s="8">
        <v>474</v>
      </c>
      <c r="B479" s="13">
        <f t="shared" ca="1" si="42"/>
        <v>0.12242387948277655</v>
      </c>
      <c r="C479" s="14">
        <f t="shared" ca="1" si="43"/>
        <v>1.9588737056437078</v>
      </c>
      <c r="D479" s="13">
        <f t="shared" ca="1" si="44"/>
        <v>0.59167476254342544</v>
      </c>
      <c r="E479" s="14">
        <f t="shared" ca="1" si="45"/>
        <v>6.9280684192544362</v>
      </c>
      <c r="F479" s="13">
        <f t="shared" ca="1" si="46"/>
        <v>0.99155509812919218</v>
      </c>
      <c r="G479" s="10">
        <f t="shared" ca="1" si="47"/>
        <v>13.921838249713403</v>
      </c>
    </row>
    <row r="480" spans="1:7">
      <c r="A480" s="8">
        <v>475</v>
      </c>
      <c r="B480" s="9">
        <f t="shared" ca="1" si="42"/>
        <v>0.38010259750516806</v>
      </c>
      <c r="C480" s="10">
        <f t="shared" ca="1" si="43"/>
        <v>7.1730194172501847</v>
      </c>
      <c r="D480" s="9">
        <f t="shared" ca="1" si="44"/>
        <v>0.60692522063498022</v>
      </c>
      <c r="E480" s="10">
        <f t="shared" ca="1" si="45"/>
        <v>7.0236849878653933</v>
      </c>
      <c r="F480" s="9">
        <f t="shared" ca="1" si="46"/>
        <v>0.81994077863304393</v>
      </c>
      <c r="G480" s="10">
        <f t="shared" ca="1" si="47"/>
        <v>5.7493318725991793</v>
      </c>
    </row>
    <row r="481" spans="1:7">
      <c r="A481" s="8">
        <v>476</v>
      </c>
      <c r="B481" s="13">
        <f t="shared" ca="1" si="42"/>
        <v>0.30025890796530508</v>
      </c>
      <c r="C481" s="14">
        <f t="shared" ca="1" si="43"/>
        <v>5.3556732131824427</v>
      </c>
      <c r="D481" s="13">
        <f t="shared" ca="1" si="44"/>
        <v>0.69926085913014879</v>
      </c>
      <c r="E481" s="14">
        <f t="shared" ca="1" si="45"/>
        <v>7.6472346864549854</v>
      </c>
      <c r="F481" s="13">
        <f t="shared" ca="1" si="46"/>
        <v>0.59976468136134742</v>
      </c>
      <c r="G481" s="10">
        <f t="shared" ca="1" si="47"/>
        <v>3.8637678491152414</v>
      </c>
    </row>
    <row r="482" spans="1:7">
      <c r="A482" s="8">
        <v>477</v>
      </c>
      <c r="B482" s="9">
        <f t="shared" ca="1" si="42"/>
        <v>0.13279155929648789</v>
      </c>
      <c r="C482" s="10">
        <f t="shared" ca="1" si="43"/>
        <v>2.1371387259082972</v>
      </c>
      <c r="D482" s="9">
        <f t="shared" ca="1" si="44"/>
        <v>0.75054329314724211</v>
      </c>
      <c r="E482" s="10">
        <f t="shared" ca="1" si="45"/>
        <v>8.0356876344410306</v>
      </c>
      <c r="F482" s="9">
        <f t="shared" ca="1" si="46"/>
        <v>0.66202752229285411</v>
      </c>
      <c r="G482" s="10">
        <f t="shared" ca="1" si="47"/>
        <v>4.2665339404524314</v>
      </c>
    </row>
    <row r="483" spans="1:7">
      <c r="A483" s="8">
        <v>478</v>
      </c>
      <c r="B483" s="13">
        <f t="shared" ca="1" si="42"/>
        <v>0.26366844476458917</v>
      </c>
      <c r="C483" s="14">
        <f t="shared" ca="1" si="43"/>
        <v>4.5911216854995311</v>
      </c>
      <c r="D483" s="13">
        <f t="shared" ca="1" si="44"/>
        <v>0.93355206370455812</v>
      </c>
      <c r="E483" s="14">
        <f t="shared" ca="1" si="45"/>
        <v>9.9539745879845878</v>
      </c>
      <c r="F483" s="13">
        <f t="shared" ca="1" si="46"/>
        <v>0.23699024295842042</v>
      </c>
      <c r="G483" s="10">
        <f t="shared" ca="1" si="47"/>
        <v>2.1606075263299207</v>
      </c>
    </row>
    <row r="484" spans="1:7">
      <c r="A484" s="8">
        <v>479</v>
      </c>
      <c r="B484" s="9">
        <f t="shared" ca="1" si="42"/>
        <v>0.58475728746887901</v>
      </c>
      <c r="C484" s="10">
        <f t="shared" ca="1" si="43"/>
        <v>13.183381203549866</v>
      </c>
      <c r="D484" s="9">
        <f t="shared" ca="1" si="44"/>
        <v>0.3380622758264884</v>
      </c>
      <c r="E484" s="10">
        <f t="shared" ca="1" si="45"/>
        <v>5.5422854953992253</v>
      </c>
      <c r="F484" s="9">
        <f t="shared" ca="1" si="46"/>
        <v>0.55743205732196321</v>
      </c>
      <c r="G484" s="10">
        <f t="shared" ca="1" si="47"/>
        <v>3.6207349486116427</v>
      </c>
    </row>
    <row r="485" spans="1:7">
      <c r="A485" s="8">
        <v>480</v>
      </c>
      <c r="B485" s="13">
        <f t="shared" ca="1" si="42"/>
        <v>0.84552875941238848</v>
      </c>
      <c r="C485" s="14">
        <f t="shared" ca="1" si="43"/>
        <v>28.01621017553224</v>
      </c>
      <c r="D485" s="13">
        <f t="shared" ca="1" si="44"/>
        <v>0.31926939705648505</v>
      </c>
      <c r="E485" s="14">
        <f t="shared" ca="1" si="45"/>
        <v>5.4512575264069634</v>
      </c>
      <c r="F485" s="13">
        <f t="shared" ca="1" si="46"/>
        <v>0.48734581372584196</v>
      </c>
      <c r="G485" s="10">
        <f t="shared" ca="1" si="47"/>
        <v>3.2575168506315597</v>
      </c>
    </row>
    <row r="486" spans="1:7">
      <c r="A486" s="8">
        <v>481</v>
      </c>
      <c r="B486" s="9">
        <f t="shared" ca="1" si="42"/>
        <v>0.20690102779488662</v>
      </c>
      <c r="C486" s="10">
        <f t="shared" ca="1" si="43"/>
        <v>3.4771088672194361</v>
      </c>
      <c r="D486" s="9">
        <f t="shared" ca="1" si="44"/>
        <v>8.935273857885917E-2</v>
      </c>
      <c r="E486" s="10">
        <f t="shared" ca="1" si="45"/>
        <v>4.2682071181078687</v>
      </c>
      <c r="F486" s="9">
        <f t="shared" ca="1" si="46"/>
        <v>7.9539692493408531E-2</v>
      </c>
      <c r="G486" s="10">
        <f t="shared" ca="1" si="47"/>
        <v>1.4263165176370194</v>
      </c>
    </row>
    <row r="487" spans="1:7">
      <c r="A487" s="8">
        <v>482</v>
      </c>
      <c r="B487" s="13">
        <f t="shared" ca="1" si="42"/>
        <v>0.33539270669905041</v>
      </c>
      <c r="C487" s="14">
        <f t="shared" ca="1" si="43"/>
        <v>6.1283842372668458</v>
      </c>
      <c r="D487" s="13">
        <f t="shared" ca="1" si="44"/>
        <v>1.3357339168812432E-3</v>
      </c>
      <c r="E487" s="14">
        <f t="shared" ca="1" si="45"/>
        <v>3.1550587324334312</v>
      </c>
      <c r="F487" s="13">
        <f t="shared" ca="1" si="46"/>
        <v>0.48670411487860143</v>
      </c>
      <c r="G487" s="10">
        <f t="shared" ca="1" si="47"/>
        <v>3.2543728742520308</v>
      </c>
    </row>
    <row r="488" spans="1:7">
      <c r="A488" s="8">
        <v>483</v>
      </c>
      <c r="B488" s="9">
        <f t="shared" ca="1" si="42"/>
        <v>8.7859265249160323E-2</v>
      </c>
      <c r="C488" s="10">
        <f t="shared" ca="1" si="43"/>
        <v>1.3794147958990597</v>
      </c>
      <c r="D488" s="9">
        <f t="shared" ca="1" si="44"/>
        <v>0.35748145813221655</v>
      </c>
      <c r="E488" s="10">
        <f t="shared" ca="1" si="45"/>
        <v>5.6377151794602627</v>
      </c>
      <c r="F488" s="9">
        <f t="shared" ca="1" si="46"/>
        <v>0.70971792927813337</v>
      </c>
      <c r="G488" s="10">
        <f t="shared" ca="1" si="47"/>
        <v>4.6252782117074576</v>
      </c>
    </row>
    <row r="489" spans="1:7">
      <c r="A489" s="8">
        <v>484</v>
      </c>
      <c r="B489" s="13">
        <f t="shared" ca="1" si="42"/>
        <v>0.90255400845135214</v>
      </c>
      <c r="C489" s="14">
        <f t="shared" ca="1" si="43"/>
        <v>34.926854809352839</v>
      </c>
      <c r="D489" s="13">
        <f t="shared" ca="1" si="44"/>
        <v>8.1994071951225767E-3</v>
      </c>
      <c r="E489" s="14">
        <f t="shared" ca="1" si="45"/>
        <v>3.3841735669098103</v>
      </c>
      <c r="F489" s="13">
        <f t="shared" ca="1" si="46"/>
        <v>0.84983567964636275</v>
      </c>
      <c r="G489" s="10">
        <f t="shared" ca="1" si="47"/>
        <v>6.1807358479415679</v>
      </c>
    </row>
    <row r="490" spans="1:7">
      <c r="A490" s="8">
        <v>485</v>
      </c>
      <c r="B490" s="9">
        <f t="shared" ca="1" si="42"/>
        <v>5.1138363846480184E-3</v>
      </c>
      <c r="C490" s="10">
        <f t="shared" ca="1" si="43"/>
        <v>7.6904351932042314E-2</v>
      </c>
      <c r="D490" s="9">
        <f t="shared" ca="1" si="44"/>
        <v>0.9252049799738854</v>
      </c>
      <c r="E490" s="10">
        <f t="shared" ca="1" si="45"/>
        <v>9.829265962480612</v>
      </c>
      <c r="F490" s="9">
        <f t="shared" ca="1" si="46"/>
        <v>0.77772192736394608</v>
      </c>
      <c r="G490" s="10">
        <f t="shared" ca="1" si="47"/>
        <v>5.2525479715881733</v>
      </c>
    </row>
    <row r="491" spans="1:7">
      <c r="A491" s="8">
        <v>486</v>
      </c>
      <c r="B491" s="13">
        <f t="shared" ca="1" si="42"/>
        <v>0.60016172861356132</v>
      </c>
      <c r="C491" s="14">
        <f t="shared" ca="1" si="43"/>
        <v>13.750427027520731</v>
      </c>
      <c r="D491" s="13">
        <f t="shared" ca="1" si="44"/>
        <v>0.41284840881341878</v>
      </c>
      <c r="E491" s="14">
        <f t="shared" ca="1" si="45"/>
        <v>5.9180142844006438</v>
      </c>
      <c r="F491" s="13">
        <f t="shared" ca="1" si="46"/>
        <v>0.47767056935448982</v>
      </c>
      <c r="G491" s="10">
        <f t="shared" ca="1" si="47"/>
        <v>3.2104127022007916</v>
      </c>
    </row>
    <row r="492" spans="1:7">
      <c r="A492" s="8">
        <v>487</v>
      </c>
      <c r="B492" s="9">
        <f t="shared" ca="1" si="42"/>
        <v>0.8574358722436114</v>
      </c>
      <c r="C492" s="10">
        <f t="shared" ca="1" si="43"/>
        <v>29.219450417380347</v>
      </c>
      <c r="D492" s="9">
        <f t="shared" ca="1" si="44"/>
        <v>0.83179022840048045</v>
      </c>
      <c r="E492" s="10">
        <f t="shared" ca="1" si="45"/>
        <v>8.7446635180415324</v>
      </c>
      <c r="F492" s="9">
        <f t="shared" ca="1" si="46"/>
        <v>0.33885491884311492</v>
      </c>
      <c r="G492" s="10">
        <f t="shared" ca="1" si="47"/>
        <v>2.5873801268161456</v>
      </c>
    </row>
    <row r="493" spans="1:7">
      <c r="A493" s="8">
        <v>488</v>
      </c>
      <c r="B493" s="13">
        <f t="shared" ca="1" si="42"/>
        <v>0.7065610041198378</v>
      </c>
      <c r="C493" s="14">
        <f t="shared" ca="1" si="43"/>
        <v>18.391282677170675</v>
      </c>
      <c r="D493" s="13">
        <f t="shared" ca="1" si="44"/>
        <v>4.3103430149040611E-2</v>
      </c>
      <c r="E493" s="14">
        <f t="shared" ca="1" si="45"/>
        <v>3.880830144058848</v>
      </c>
      <c r="F493" s="13">
        <f t="shared" ca="1" si="46"/>
        <v>0.12593539387189323</v>
      </c>
      <c r="G493" s="10">
        <f t="shared" ca="1" si="47"/>
        <v>1.6694757698105831</v>
      </c>
    </row>
    <row r="494" spans="1:7">
      <c r="A494" s="8">
        <v>489</v>
      </c>
      <c r="B494" s="9">
        <f t="shared" ca="1" si="42"/>
        <v>0.68859813512993007</v>
      </c>
      <c r="C494" s="10">
        <f t="shared" ca="1" si="43"/>
        <v>17.500065464037732</v>
      </c>
      <c r="D494" s="9">
        <f t="shared" ca="1" si="44"/>
        <v>0.84916185168306901</v>
      </c>
      <c r="E494" s="10">
        <f t="shared" ca="1" si="45"/>
        <v>8.9173382696172041</v>
      </c>
      <c r="F494" s="9">
        <f t="shared" ca="1" si="46"/>
        <v>0.81230790448677925</v>
      </c>
      <c r="G494" s="10">
        <f t="shared" ca="1" si="47"/>
        <v>5.6511544862643435</v>
      </c>
    </row>
    <row r="495" spans="1:7">
      <c r="A495" s="8">
        <v>490</v>
      </c>
      <c r="B495" s="13">
        <f t="shared" ca="1" si="42"/>
        <v>0.66729792621001105</v>
      </c>
      <c r="C495" s="14">
        <f t="shared" ca="1" si="43"/>
        <v>16.507617941460911</v>
      </c>
      <c r="D495" s="13">
        <f t="shared" ca="1" si="44"/>
        <v>0.66099769478024151</v>
      </c>
      <c r="E495" s="14">
        <f t="shared" ca="1" si="45"/>
        <v>7.3786208520783774</v>
      </c>
      <c r="F495" s="13">
        <f t="shared" ca="1" si="46"/>
        <v>0.82994356564252447</v>
      </c>
      <c r="G495" s="10">
        <f t="shared" ca="1" si="47"/>
        <v>5.884756467871866</v>
      </c>
    </row>
    <row r="496" spans="1:7">
      <c r="A496" s="8">
        <v>491</v>
      </c>
      <c r="B496" s="9">
        <f t="shared" ca="1" si="42"/>
        <v>0.50559592791009134</v>
      </c>
      <c r="C496" s="10">
        <f t="shared" ca="1" si="43"/>
        <v>10.566032046671497</v>
      </c>
      <c r="D496" s="9">
        <f t="shared" ca="1" si="44"/>
        <v>1.1601969257370448E-2</v>
      </c>
      <c r="E496" s="10">
        <f t="shared" ca="1" si="45"/>
        <v>3.4569851711299484</v>
      </c>
      <c r="F496" s="9">
        <f t="shared" ca="1" si="46"/>
        <v>0.24931485319741231</v>
      </c>
      <c r="G496" s="10">
        <f t="shared" ca="1" si="47"/>
        <v>2.2122532551901704</v>
      </c>
    </row>
    <row r="497" spans="1:7">
      <c r="A497" s="8">
        <v>492</v>
      </c>
      <c r="B497" s="13">
        <f t="shared" ca="1" si="42"/>
        <v>0.22113346137325751</v>
      </c>
      <c r="C497" s="14">
        <f t="shared" ca="1" si="43"/>
        <v>3.748733576397334</v>
      </c>
      <c r="D497" s="13">
        <f t="shared" ca="1" si="44"/>
        <v>0.62204484313921449</v>
      </c>
      <c r="E497" s="14">
        <f t="shared" ca="1" si="45"/>
        <v>7.1203304535830005</v>
      </c>
      <c r="F497" s="13">
        <f t="shared" ca="1" si="46"/>
        <v>0.68608837774226172</v>
      </c>
      <c r="G497" s="10">
        <f t="shared" ca="1" si="47"/>
        <v>4.4409830197272768</v>
      </c>
    </row>
    <row r="498" spans="1:7">
      <c r="A498" s="8">
        <v>493</v>
      </c>
      <c r="B498" s="9">
        <f t="shared" ca="1" si="42"/>
        <v>0.15428510132069528</v>
      </c>
      <c r="C498" s="10">
        <f t="shared" ca="1" si="43"/>
        <v>2.5135946305491483</v>
      </c>
      <c r="D498" s="9">
        <f t="shared" ca="1" si="44"/>
        <v>0.8728141955121238</v>
      </c>
      <c r="E498" s="10">
        <f t="shared" ca="1" si="45"/>
        <v>9.1693276977480771</v>
      </c>
      <c r="F498" s="9">
        <f t="shared" ca="1" si="46"/>
        <v>0.5397739906727852</v>
      </c>
      <c r="G498" s="10">
        <f t="shared" ca="1" si="47"/>
        <v>3.5251345669790668</v>
      </c>
    </row>
    <row r="499" spans="1:7">
      <c r="A499" s="8">
        <v>494</v>
      </c>
      <c r="B499" s="13">
        <f t="shared" ca="1" si="42"/>
        <v>0.53472912028428965</v>
      </c>
      <c r="C499" s="14">
        <f t="shared" ca="1" si="43"/>
        <v>11.477032589708603</v>
      </c>
      <c r="D499" s="13">
        <f t="shared" ca="1" si="44"/>
        <v>0.79174352036457596</v>
      </c>
      <c r="E499" s="14">
        <f t="shared" ca="1" si="45"/>
        <v>8.3778241046255477</v>
      </c>
      <c r="F499" s="13">
        <f t="shared" ca="1" si="46"/>
        <v>0.33638573900174051</v>
      </c>
      <c r="G499" s="10">
        <f t="shared" ca="1" si="47"/>
        <v>2.5769114529975052</v>
      </c>
    </row>
    <row r="500" spans="1:7">
      <c r="A500" s="8">
        <v>495</v>
      </c>
      <c r="B500" s="9">
        <f t="shared" ca="1" si="42"/>
        <v>0.6818724685354316</v>
      </c>
      <c r="C500" s="10">
        <f t="shared" ca="1" si="43"/>
        <v>17.179544013848041</v>
      </c>
      <c r="D500" s="9">
        <f t="shared" ca="1" si="44"/>
        <v>0.16153461783421574</v>
      </c>
      <c r="E500" s="10">
        <f t="shared" ca="1" si="45"/>
        <v>4.7051753930361198</v>
      </c>
      <c r="F500" s="9">
        <f t="shared" ca="1" si="46"/>
        <v>0.78312695739130345</v>
      </c>
      <c r="G500" s="10">
        <f t="shared" ca="1" si="47"/>
        <v>5.3104599421383263</v>
      </c>
    </row>
    <row r="501" spans="1:7">
      <c r="A501" s="8">
        <v>496</v>
      </c>
      <c r="B501" s="13">
        <f t="shared" ca="1" si="42"/>
        <v>0.859105892288485</v>
      </c>
      <c r="C501" s="14">
        <f t="shared" ca="1" si="43"/>
        <v>29.396200198361942</v>
      </c>
      <c r="D501" s="13">
        <f t="shared" ca="1" si="44"/>
        <v>0.69445932247224773</v>
      </c>
      <c r="E501" s="14">
        <f t="shared" ca="1" si="45"/>
        <v>7.6126246246476246</v>
      </c>
      <c r="F501" s="13">
        <f t="shared" ca="1" si="46"/>
        <v>0.34474287505794288</v>
      </c>
      <c r="G501" s="10">
        <f t="shared" ca="1" si="47"/>
        <v>2.6123969613907425</v>
      </c>
    </row>
    <row r="502" spans="1:7">
      <c r="A502" s="8">
        <v>497</v>
      </c>
      <c r="B502" s="9">
        <f t="shared" ca="1" si="42"/>
        <v>0.8750918558476326</v>
      </c>
      <c r="C502" s="10">
        <f t="shared" ca="1" si="43"/>
        <v>31.20264987889707</v>
      </c>
      <c r="D502" s="9">
        <f t="shared" ca="1" si="44"/>
        <v>0.24783705299391134</v>
      </c>
      <c r="E502" s="10">
        <f t="shared" ca="1" si="45"/>
        <v>5.1162317251825229</v>
      </c>
      <c r="F502" s="9">
        <f t="shared" ca="1" si="46"/>
        <v>0.73596713160360883</v>
      </c>
      <c r="G502" s="10">
        <f t="shared" ca="1" si="47"/>
        <v>4.8480514653444802</v>
      </c>
    </row>
    <row r="503" spans="1:7">
      <c r="A503" s="8">
        <v>498</v>
      </c>
      <c r="B503" s="13">
        <f t="shared" ca="1" si="42"/>
        <v>0.64536679587167312</v>
      </c>
      <c r="C503" s="14">
        <f t="shared" ca="1" si="43"/>
        <v>15.550068771930972</v>
      </c>
      <c r="D503" s="13">
        <f t="shared" ca="1" si="44"/>
        <v>5.2736200344810524E-2</v>
      </c>
      <c r="E503" s="14">
        <f t="shared" ca="1" si="45"/>
        <v>3.9742954409246662</v>
      </c>
      <c r="F503" s="13">
        <f t="shared" ca="1" si="46"/>
        <v>0.93472012809741256</v>
      </c>
      <c r="G503" s="10">
        <f t="shared" ca="1" si="47"/>
        <v>8.2246764871263522</v>
      </c>
    </row>
    <row r="504" spans="1:7">
      <c r="A504" s="8">
        <v>499</v>
      </c>
      <c r="B504" s="9">
        <f t="shared" ca="1" si="42"/>
        <v>0.60767775088969289</v>
      </c>
      <c r="C504" s="10">
        <f t="shared" ca="1" si="43"/>
        <v>14.035075692665382</v>
      </c>
      <c r="D504" s="9">
        <f t="shared" ca="1" si="44"/>
        <v>0.66982652752916172</v>
      </c>
      <c r="E504" s="10">
        <f t="shared" ca="1" si="45"/>
        <v>7.4391964780684958</v>
      </c>
      <c r="F504" s="9">
        <f t="shared" ca="1" si="46"/>
        <v>0.80344508094014266</v>
      </c>
      <c r="G504" s="10">
        <f t="shared" ca="1" si="47"/>
        <v>5.5422178214135052</v>
      </c>
    </row>
    <row r="505" spans="1:7">
      <c r="A505" s="8">
        <v>500</v>
      </c>
      <c r="B505" s="13">
        <f t="shared" ca="1" si="42"/>
        <v>0.15408651635018022</v>
      </c>
      <c r="C505" s="14">
        <f t="shared" ca="1" si="43"/>
        <v>2.5100728469203966</v>
      </c>
      <c r="D505" s="13">
        <f t="shared" ca="1" si="44"/>
        <v>0.86754675317097329</v>
      </c>
      <c r="E505" s="14">
        <f t="shared" ca="1" si="45"/>
        <v>9.1113057361103991</v>
      </c>
      <c r="F505" s="13">
        <f t="shared" ca="1" si="46"/>
        <v>0.64392398188055022</v>
      </c>
      <c r="G505" s="10">
        <f t="shared" ca="1" si="47"/>
        <v>4.1428353898263328</v>
      </c>
    </row>
    <row r="506" spans="1:7">
      <c r="A506" s="8">
        <v>501</v>
      </c>
      <c r="B506" s="9">
        <f t="shared" ca="1" si="42"/>
        <v>0.610010382304214</v>
      </c>
      <c r="C506" s="10">
        <f t="shared" ca="1" si="43"/>
        <v>14.124527422584814</v>
      </c>
      <c r="D506" s="9">
        <f t="shared" ca="1" si="44"/>
        <v>0.55607285034504284</v>
      </c>
      <c r="E506" s="10">
        <f t="shared" ca="1" si="45"/>
        <v>6.7115776995154501</v>
      </c>
      <c r="F506" s="9">
        <f t="shared" ca="1" si="46"/>
        <v>0.67141459659341962</v>
      </c>
      <c r="G506" s="10">
        <f t="shared" ca="1" si="47"/>
        <v>4.3331449454748396</v>
      </c>
    </row>
    <row r="507" spans="1:7">
      <c r="A507" s="8">
        <v>502</v>
      </c>
      <c r="B507" s="13">
        <f t="shared" ca="1" si="42"/>
        <v>2.0774519125034141E-3</v>
      </c>
      <c r="C507" s="14">
        <f t="shared" ca="1" si="43"/>
        <v>3.1194192135283232E-2</v>
      </c>
      <c r="D507" s="13">
        <f t="shared" ca="1" si="44"/>
        <v>0.55974411344275898</v>
      </c>
      <c r="E507" s="14">
        <f t="shared" ca="1" si="45"/>
        <v>6.73349063865769</v>
      </c>
      <c r="F507" s="13">
        <f t="shared" ca="1" si="46"/>
        <v>5.4207320733869913E-2</v>
      </c>
      <c r="G507" s="10">
        <f t="shared" ca="1" si="47"/>
        <v>1.2671675168290961</v>
      </c>
    </row>
    <row r="508" spans="1:7">
      <c r="A508" s="8">
        <v>503</v>
      </c>
      <c r="B508" s="9">
        <f t="shared" ca="1" si="42"/>
        <v>0.27817841583149683</v>
      </c>
      <c r="C508" s="10">
        <f t="shared" ca="1" si="43"/>
        <v>4.8896592595029968</v>
      </c>
      <c r="D508" s="9">
        <f t="shared" ca="1" si="44"/>
        <v>0.1379166700975436</v>
      </c>
      <c r="E508" s="10">
        <f t="shared" ca="1" si="45"/>
        <v>4.5755951452564787</v>
      </c>
      <c r="F508" s="9">
        <f t="shared" ca="1" si="46"/>
        <v>0.64847839392378304</v>
      </c>
      <c r="G508" s="10">
        <f t="shared" ca="1" si="47"/>
        <v>4.1733931516771507</v>
      </c>
    </row>
    <row r="509" spans="1:7">
      <c r="A509" s="8">
        <v>504</v>
      </c>
      <c r="B509" s="13">
        <f t="shared" ca="1" si="42"/>
        <v>0.23467043821744649</v>
      </c>
      <c r="C509" s="14">
        <f t="shared" ca="1" si="43"/>
        <v>4.0117310731110098</v>
      </c>
      <c r="D509" s="13">
        <f t="shared" ca="1" si="44"/>
        <v>0.6284014920836074</v>
      </c>
      <c r="E509" s="14">
        <f t="shared" ca="1" si="45"/>
        <v>7.1615388811386804</v>
      </c>
      <c r="F509" s="13">
        <f t="shared" ca="1" si="46"/>
        <v>0.33438435310709547</v>
      </c>
      <c r="G509" s="10">
        <f t="shared" ca="1" si="47"/>
        <v>2.5684353523162033</v>
      </c>
    </row>
    <row r="510" spans="1:7">
      <c r="A510" s="8">
        <v>505</v>
      </c>
      <c r="B510" s="9">
        <f t="shared" ca="1" si="42"/>
        <v>0.69416228304265903</v>
      </c>
      <c r="C510" s="10">
        <f t="shared" ca="1" si="43"/>
        <v>17.770509816731124</v>
      </c>
      <c r="D510" s="9">
        <f t="shared" ca="1" si="44"/>
        <v>7.1095017109668479E-2</v>
      </c>
      <c r="E510" s="10">
        <f t="shared" ca="1" si="45"/>
        <v>4.131242815656317</v>
      </c>
      <c r="F510" s="9">
        <f t="shared" ca="1" si="46"/>
        <v>0.21125830739335361</v>
      </c>
      <c r="G510" s="10">
        <f t="shared" ca="1" si="47"/>
        <v>2.0518920156978471</v>
      </c>
    </row>
    <row r="511" spans="1:7">
      <c r="A511" s="8">
        <v>506</v>
      </c>
      <c r="B511" s="13">
        <f t="shared" ca="1" si="42"/>
        <v>0.44946838385450305</v>
      </c>
      <c r="C511" s="14">
        <f t="shared" ca="1" si="43"/>
        <v>8.9530633916739415</v>
      </c>
      <c r="D511" s="13">
        <f t="shared" ca="1" si="44"/>
        <v>0.14492163613315823</v>
      </c>
      <c r="E511" s="14">
        <f t="shared" ca="1" si="45"/>
        <v>4.6151128289989058</v>
      </c>
      <c r="F511" s="13">
        <f t="shared" ca="1" si="46"/>
        <v>0.52032415849718139</v>
      </c>
      <c r="G511" s="10">
        <f t="shared" ca="1" si="47"/>
        <v>3.4232154538248336</v>
      </c>
    </row>
    <row r="512" spans="1:7">
      <c r="A512" s="8">
        <v>507</v>
      </c>
      <c r="B512" s="9">
        <f t="shared" ca="1" si="42"/>
        <v>0.40810620530684794</v>
      </c>
      <c r="C512" s="10">
        <f t="shared" ca="1" si="43"/>
        <v>7.8664209157282787</v>
      </c>
      <c r="D512" s="9">
        <f t="shared" ca="1" si="44"/>
        <v>0.27941669178531159</v>
      </c>
      <c r="E512" s="10">
        <f t="shared" ca="1" si="45"/>
        <v>5.2622890817781913</v>
      </c>
      <c r="F512" s="9">
        <f t="shared" ca="1" si="46"/>
        <v>0.88268009132177772</v>
      </c>
      <c r="G512" s="10">
        <f t="shared" ca="1" si="47"/>
        <v>6.7740214042756257</v>
      </c>
    </row>
    <row r="513" spans="1:7">
      <c r="A513" s="8">
        <v>508</v>
      </c>
      <c r="B513" s="13">
        <f t="shared" ca="1" si="42"/>
        <v>0.22668386868208579</v>
      </c>
      <c r="C513" s="14">
        <f t="shared" ca="1" si="43"/>
        <v>3.8560102083412198</v>
      </c>
      <c r="D513" s="13">
        <f t="shared" ca="1" si="44"/>
        <v>9.8547658386403891E-2</v>
      </c>
      <c r="E513" s="14">
        <f t="shared" ca="1" si="45"/>
        <v>4.3318625495730672</v>
      </c>
      <c r="F513" s="13">
        <f t="shared" ca="1" si="46"/>
        <v>0.68066059619987751</v>
      </c>
      <c r="G513" s="10">
        <f t="shared" ca="1" si="47"/>
        <v>4.4005437291957259</v>
      </c>
    </row>
    <row r="514" spans="1:7">
      <c r="A514" s="8">
        <v>509</v>
      </c>
      <c r="B514" s="9">
        <f t="shared" ca="1" si="42"/>
        <v>0.59081219414277419</v>
      </c>
      <c r="C514" s="10">
        <f t="shared" ca="1" si="43"/>
        <v>13.403715679598953</v>
      </c>
      <c r="D514" s="9">
        <f t="shared" ca="1" si="44"/>
        <v>0.19175177072983685</v>
      </c>
      <c r="E514" s="10">
        <f t="shared" ca="1" si="45"/>
        <v>4.8578298827225979</v>
      </c>
      <c r="F514" s="9">
        <f t="shared" ca="1" si="46"/>
        <v>0.15844948150432692</v>
      </c>
      <c r="G514" s="10">
        <f t="shared" ca="1" si="47"/>
        <v>1.8211889218286073</v>
      </c>
    </row>
    <row r="515" spans="1:7">
      <c r="A515" s="8">
        <v>510</v>
      </c>
      <c r="B515" s="13">
        <f t="shared" ca="1" si="42"/>
        <v>0.55868277928045085</v>
      </c>
      <c r="C515" s="14">
        <f t="shared" ca="1" si="43"/>
        <v>12.269870111450709</v>
      </c>
      <c r="D515" s="13">
        <f t="shared" ca="1" si="44"/>
        <v>0.63388264861545418</v>
      </c>
      <c r="E515" s="14">
        <f t="shared" ca="1" si="45"/>
        <v>7.1973556099554497</v>
      </c>
      <c r="F515" s="13">
        <f t="shared" ca="1" si="46"/>
        <v>0.56091231589173496</v>
      </c>
      <c r="G515" s="10">
        <f t="shared" ca="1" si="47"/>
        <v>3.639948745702227</v>
      </c>
    </row>
    <row r="516" spans="1:7">
      <c r="A516" s="8">
        <v>511</v>
      </c>
      <c r="B516" s="9">
        <f t="shared" ca="1" si="42"/>
        <v>0.11582236940013124</v>
      </c>
      <c r="C516" s="10">
        <f t="shared" ca="1" si="43"/>
        <v>1.8464594540630672</v>
      </c>
      <c r="D516" s="9">
        <f t="shared" ca="1" si="44"/>
        <v>0.55998286144835974</v>
      </c>
      <c r="E516" s="10">
        <f t="shared" ca="1" si="45"/>
        <v>6.7349188298039184</v>
      </c>
      <c r="F516" s="9">
        <f t="shared" ca="1" si="46"/>
        <v>0.66225765248906476</v>
      </c>
      <c r="G516" s="10">
        <f t="shared" ca="1" si="47"/>
        <v>4.2681459610057795</v>
      </c>
    </row>
    <row r="517" spans="1:7">
      <c r="A517" s="8">
        <v>512</v>
      </c>
      <c r="B517" s="13">
        <f t="shared" ca="1" si="42"/>
        <v>0.28685948027697739</v>
      </c>
      <c r="C517" s="14">
        <f t="shared" ca="1" si="43"/>
        <v>5.0711519343830656</v>
      </c>
      <c r="D517" s="13">
        <f t="shared" ca="1" si="44"/>
        <v>0.39086123906698844</v>
      </c>
      <c r="E517" s="14">
        <f t="shared" ca="1" si="45"/>
        <v>5.8051842691828419</v>
      </c>
      <c r="F517" s="13">
        <f t="shared" ca="1" si="46"/>
        <v>0.30380210421646392</v>
      </c>
      <c r="G517" s="10">
        <f t="shared" ca="1" si="47"/>
        <v>2.4397662332754124</v>
      </c>
    </row>
    <row r="518" spans="1:7">
      <c r="A518" s="8">
        <v>513</v>
      </c>
      <c r="B518" s="9">
        <f t="shared" ref="B518:B581" ca="1" si="48">RAND()</f>
        <v>0.93260698486948101</v>
      </c>
      <c r="C518" s="10">
        <f t="shared" ref="C518:C581" ca="1" si="49">-$J$6 * LN(1 - B518)</f>
        <v>40.458208492687618</v>
      </c>
      <c r="D518" s="9">
        <f t="shared" ref="D518:D581" ca="1" si="50">RAND()</f>
        <v>0.73833870227074805</v>
      </c>
      <c r="E518" s="10">
        <f t="shared" ref="E518:E581" ca="1" si="51">IF(D518&lt;=$N$9, $N$6+SQRT(D518*($N$8-$N$6)*($N$7-$N$6)), $N$8-SQRT((1-D518)*($N$8-$N$6)*($N$8-$N$7)))</f>
        <v>7.9398692438613665</v>
      </c>
      <c r="F518" s="9">
        <f t="shared" ref="F518:F581" ca="1" si="52">RAND()</f>
        <v>6.1548164507138181E-2</v>
      </c>
      <c r="G518" s="10">
        <f t="shared" ca="1" si="47"/>
        <v>1.3163412813808624</v>
      </c>
    </row>
    <row r="519" spans="1:7">
      <c r="A519" s="8">
        <v>514</v>
      </c>
      <c r="B519" s="13">
        <f t="shared" ca="1" si="48"/>
        <v>0.19160065675211568</v>
      </c>
      <c r="C519" s="14">
        <f t="shared" ca="1" si="49"/>
        <v>3.1904865879426358</v>
      </c>
      <c r="D519" s="13">
        <f t="shared" ca="1" si="50"/>
        <v>0.72823024204308495</v>
      </c>
      <c r="E519" s="14">
        <f t="shared" ca="1" si="51"/>
        <v>7.8621872020008388</v>
      </c>
      <c r="F519" s="13">
        <f t="shared" ca="1" si="52"/>
        <v>0.99284936666393864</v>
      </c>
      <c r="G519" s="10">
        <f t="shared" ref="G519:G582" ca="1" si="53">_xlfn.LOGNORM.INV(F519, $R$6, $R$7)</f>
        <v>14.436554718213367</v>
      </c>
    </row>
    <row r="520" spans="1:7">
      <c r="A520" s="8">
        <v>515</v>
      </c>
      <c r="B520" s="9">
        <f t="shared" ca="1" si="48"/>
        <v>0.52249980286206144</v>
      </c>
      <c r="C520" s="10">
        <f t="shared" ca="1" si="49"/>
        <v>11.087860593106736</v>
      </c>
      <c r="D520" s="9">
        <f t="shared" ca="1" si="50"/>
        <v>0.87615158011627381</v>
      </c>
      <c r="E520" s="10">
        <f t="shared" ca="1" si="51"/>
        <v>9.2067133242943449</v>
      </c>
      <c r="F520" s="9">
        <f t="shared" ca="1" si="52"/>
        <v>0.64534697779562611</v>
      </c>
      <c r="G520" s="10">
        <f t="shared" ca="1" si="53"/>
        <v>4.1523438312205494</v>
      </c>
    </row>
    <row r="521" spans="1:7">
      <c r="A521" s="8">
        <v>516</v>
      </c>
      <c r="B521" s="13">
        <f t="shared" ca="1" si="48"/>
        <v>0.28159787776744327</v>
      </c>
      <c r="C521" s="14">
        <f t="shared" ca="1" si="49"/>
        <v>4.9608871183290635</v>
      </c>
      <c r="D521" s="13">
        <f t="shared" ca="1" si="50"/>
        <v>0.6379874180584626</v>
      </c>
      <c r="E521" s="14">
        <f t="shared" ca="1" si="51"/>
        <v>7.2243542151540536</v>
      </c>
      <c r="F521" s="13">
        <f t="shared" ca="1" si="52"/>
        <v>2.2610062587799296E-2</v>
      </c>
      <c r="G521" s="10">
        <f t="shared" ca="1" si="53"/>
        <v>0.99844057648836437</v>
      </c>
    </row>
    <row r="522" spans="1:7">
      <c r="A522" s="8">
        <v>517</v>
      </c>
      <c r="B522" s="9">
        <f t="shared" ca="1" si="48"/>
        <v>0.24731244770838168</v>
      </c>
      <c r="C522" s="10">
        <f t="shared" ca="1" si="49"/>
        <v>4.2615761173234308</v>
      </c>
      <c r="D522" s="9">
        <f t="shared" ca="1" si="50"/>
        <v>0.19834814802305933</v>
      </c>
      <c r="E522" s="10">
        <f t="shared" ca="1" si="51"/>
        <v>4.8895149283387704</v>
      </c>
      <c r="F522" s="9">
        <f t="shared" ca="1" si="52"/>
        <v>0.19474723170380348</v>
      </c>
      <c r="G522" s="10">
        <f t="shared" ca="1" si="53"/>
        <v>1.9811535738684629</v>
      </c>
    </row>
    <row r="523" spans="1:7">
      <c r="A523" s="8">
        <v>518</v>
      </c>
      <c r="B523" s="13">
        <f t="shared" ca="1" si="48"/>
        <v>0.48535025173399982</v>
      </c>
      <c r="C523" s="14">
        <f t="shared" ca="1" si="49"/>
        <v>9.964030652189912</v>
      </c>
      <c r="D523" s="13">
        <f t="shared" ca="1" si="50"/>
        <v>0.81353322013173024</v>
      </c>
      <c r="E523" s="14">
        <f t="shared" ca="1" si="51"/>
        <v>8.5725509293789646</v>
      </c>
      <c r="F523" s="13">
        <f t="shared" ca="1" si="52"/>
        <v>0.16734680656381795</v>
      </c>
      <c r="G523" s="10">
        <f t="shared" ca="1" si="53"/>
        <v>1.861119568233599</v>
      </c>
    </row>
    <row r="524" spans="1:7">
      <c r="A524" s="8">
        <v>519</v>
      </c>
      <c r="B524" s="9">
        <f t="shared" ca="1" si="48"/>
        <v>0.99810071720710702</v>
      </c>
      <c r="C524" s="10">
        <f t="shared" ca="1" si="49"/>
        <v>93.994184122455422</v>
      </c>
      <c r="D524" s="9">
        <f t="shared" ca="1" si="50"/>
        <v>0.5299263287378867</v>
      </c>
      <c r="E524" s="10">
        <f t="shared" ca="1" si="51"/>
        <v>6.5580664015891248</v>
      </c>
      <c r="F524" s="9">
        <f t="shared" ca="1" si="52"/>
        <v>0.99430434783331756</v>
      </c>
      <c r="G524" s="10">
        <f t="shared" ca="1" si="53"/>
        <v>15.154174738168951</v>
      </c>
    </row>
    <row r="525" spans="1:7">
      <c r="A525" s="8">
        <v>520</v>
      </c>
      <c r="B525" s="13">
        <f t="shared" ca="1" si="48"/>
        <v>0.14966004830214352</v>
      </c>
      <c r="C525" s="14">
        <f t="shared" ca="1" si="49"/>
        <v>2.4317859941966917</v>
      </c>
      <c r="D525" s="13">
        <f t="shared" ca="1" si="50"/>
        <v>0.11387651676258626</v>
      </c>
      <c r="E525" s="14">
        <f t="shared" ca="1" si="51"/>
        <v>4.4317043346049321</v>
      </c>
      <c r="F525" s="13">
        <f t="shared" ca="1" si="52"/>
        <v>0.92094980705459939</v>
      </c>
      <c r="G525" s="10">
        <f t="shared" ca="1" si="53"/>
        <v>7.7438082236172097</v>
      </c>
    </row>
    <row r="526" spans="1:7">
      <c r="A526" s="8">
        <v>521</v>
      </c>
      <c r="B526" s="9">
        <f t="shared" ca="1" si="48"/>
        <v>0.28545816356460807</v>
      </c>
      <c r="C526" s="10">
        <f t="shared" ca="1" si="49"/>
        <v>5.0417059482432798</v>
      </c>
      <c r="D526" s="9">
        <f t="shared" ca="1" si="50"/>
        <v>0.8182195238013118</v>
      </c>
      <c r="E526" s="10">
        <f t="shared" ca="1" si="51"/>
        <v>8.6158945051140385</v>
      </c>
      <c r="F526" s="9">
        <f t="shared" ca="1" si="52"/>
        <v>0.64738404070949385</v>
      </c>
      <c r="G526" s="10">
        <f t="shared" ca="1" si="53"/>
        <v>4.166017209560092</v>
      </c>
    </row>
    <row r="527" spans="1:7">
      <c r="A527" s="8">
        <v>522</v>
      </c>
      <c r="B527" s="13">
        <f t="shared" ca="1" si="48"/>
        <v>0.33361014672093492</v>
      </c>
      <c r="C527" s="14">
        <f t="shared" ca="1" si="49"/>
        <v>6.0882062162594179</v>
      </c>
      <c r="D527" s="13">
        <f t="shared" ca="1" si="50"/>
        <v>0.9450515691874829</v>
      </c>
      <c r="E527" s="14">
        <f t="shared" ca="1" si="51"/>
        <v>10.139421826101204</v>
      </c>
      <c r="F527" s="13">
        <f t="shared" ca="1" si="52"/>
        <v>0.40812057044617001</v>
      </c>
      <c r="G527" s="10">
        <f t="shared" ca="1" si="53"/>
        <v>2.8880185821541557</v>
      </c>
    </row>
    <row r="528" spans="1:7">
      <c r="A528" s="8">
        <v>523</v>
      </c>
      <c r="B528" s="9">
        <f t="shared" ca="1" si="48"/>
        <v>0.42044615682746755</v>
      </c>
      <c r="C528" s="10">
        <f t="shared" ca="1" si="49"/>
        <v>8.1824506104728059</v>
      </c>
      <c r="D528" s="9">
        <f t="shared" ca="1" si="50"/>
        <v>0.12382257238752614</v>
      </c>
      <c r="E528" s="10">
        <f t="shared" ca="1" si="51"/>
        <v>4.4929187194805582</v>
      </c>
      <c r="F528" s="9">
        <f t="shared" ca="1" si="52"/>
        <v>0.97176148801955742</v>
      </c>
      <c r="G528" s="10">
        <f t="shared" ca="1" si="53"/>
        <v>10.427034576967356</v>
      </c>
    </row>
    <row r="529" spans="1:7">
      <c r="A529" s="8">
        <v>524</v>
      </c>
      <c r="B529" s="13">
        <f t="shared" ca="1" si="48"/>
        <v>0.14733136297845562</v>
      </c>
      <c r="C529" s="14">
        <f t="shared" ca="1" si="49"/>
        <v>2.3907641204877326</v>
      </c>
      <c r="D529" s="13">
        <f t="shared" ca="1" si="50"/>
        <v>0.36923693912235944</v>
      </c>
      <c r="E529" s="14">
        <f t="shared" ca="1" si="51"/>
        <v>5.6961858501942366</v>
      </c>
      <c r="F529" s="13">
        <f t="shared" ca="1" si="52"/>
        <v>0.65365953061149884</v>
      </c>
      <c r="G529" s="10">
        <f t="shared" ca="1" si="53"/>
        <v>4.2086068175044913</v>
      </c>
    </row>
    <row r="530" spans="1:7">
      <c r="A530" s="8">
        <v>525</v>
      </c>
      <c r="B530" s="9">
        <f t="shared" ca="1" si="48"/>
        <v>0.86034186667495205</v>
      </c>
      <c r="C530" s="10">
        <f t="shared" ca="1" si="49"/>
        <v>29.528366212590203</v>
      </c>
      <c r="D530" s="9">
        <f t="shared" ca="1" si="50"/>
        <v>0.76817242295359278</v>
      </c>
      <c r="E530" s="10">
        <f t="shared" ca="1" si="51"/>
        <v>8.1783331707324809</v>
      </c>
      <c r="F530" s="9">
        <f t="shared" ca="1" si="52"/>
        <v>0.28354602242637661</v>
      </c>
      <c r="G530" s="10">
        <f t="shared" ca="1" si="53"/>
        <v>2.3551309822181561</v>
      </c>
    </row>
    <row r="531" spans="1:7">
      <c r="A531" s="8">
        <v>526</v>
      </c>
      <c r="B531" s="13">
        <f t="shared" ca="1" si="48"/>
        <v>0.25176343276222934</v>
      </c>
      <c r="C531" s="14">
        <f t="shared" ca="1" si="49"/>
        <v>4.3505412697300052</v>
      </c>
      <c r="D531" s="13">
        <f t="shared" ca="1" si="50"/>
        <v>2.2396311689448667E-2</v>
      </c>
      <c r="E531" s="14">
        <f t="shared" ca="1" si="51"/>
        <v>3.6349280356151206</v>
      </c>
      <c r="F531" s="13">
        <f t="shared" ca="1" si="52"/>
        <v>0.83379662798360432</v>
      </c>
      <c r="G531" s="10">
        <f t="shared" ca="1" si="53"/>
        <v>5.9391528770824751</v>
      </c>
    </row>
    <row r="532" spans="1:7">
      <c r="A532" s="8">
        <v>527</v>
      </c>
      <c r="B532" s="9">
        <f t="shared" ca="1" si="48"/>
        <v>0.94021796077799236</v>
      </c>
      <c r="C532" s="10">
        <f t="shared" ca="1" si="49"/>
        <v>42.255750158954221</v>
      </c>
      <c r="D532" s="9">
        <f t="shared" ca="1" si="50"/>
        <v>6.9511013458907867E-2</v>
      </c>
      <c r="E532" s="10">
        <f t="shared" ca="1" si="51"/>
        <v>4.1185697306204663</v>
      </c>
      <c r="F532" s="9">
        <f t="shared" ca="1" si="52"/>
        <v>0.89704598097749733</v>
      </c>
      <c r="G532" s="10">
        <f t="shared" ca="1" si="53"/>
        <v>7.091795550496899</v>
      </c>
    </row>
    <row r="533" spans="1:7">
      <c r="A533" s="8">
        <v>528</v>
      </c>
      <c r="B533" s="13">
        <f t="shared" ca="1" si="48"/>
        <v>4.3518101468522197E-2</v>
      </c>
      <c r="C533" s="14">
        <f t="shared" ca="1" si="49"/>
        <v>0.66740122460334494</v>
      </c>
      <c r="D533" s="13">
        <f t="shared" ca="1" si="50"/>
        <v>0.23815601929687469</v>
      </c>
      <c r="E533" s="14">
        <f t="shared" ca="1" si="51"/>
        <v>5.0720731250758071</v>
      </c>
      <c r="F533" s="13">
        <f t="shared" ca="1" si="52"/>
        <v>0.10860403829614051</v>
      </c>
      <c r="G533" s="10">
        <f t="shared" ca="1" si="53"/>
        <v>1.5834536695686234</v>
      </c>
    </row>
    <row r="534" spans="1:7">
      <c r="A534" s="8">
        <v>529</v>
      </c>
      <c r="B534" s="9">
        <f t="shared" ca="1" si="48"/>
        <v>0.89058862805200412</v>
      </c>
      <c r="C534" s="10">
        <f t="shared" ca="1" si="49"/>
        <v>33.189606690902508</v>
      </c>
      <c r="D534" s="9">
        <f t="shared" ca="1" si="50"/>
        <v>0.81036546235890727</v>
      </c>
      <c r="E534" s="10">
        <f t="shared" ca="1" si="51"/>
        <v>8.5435602317718828</v>
      </c>
      <c r="F534" s="9">
        <f t="shared" ca="1" si="52"/>
        <v>0.37536264105496298</v>
      </c>
      <c r="G534" s="10">
        <f t="shared" ca="1" si="53"/>
        <v>2.7439269852503645</v>
      </c>
    </row>
    <row r="535" spans="1:7">
      <c r="A535" s="8">
        <v>530</v>
      </c>
      <c r="B535" s="13">
        <f t="shared" ca="1" si="48"/>
        <v>0.79318709098862494</v>
      </c>
      <c r="C535" s="14">
        <f t="shared" ca="1" si="49"/>
        <v>23.639110734157676</v>
      </c>
      <c r="D535" s="13">
        <f t="shared" ca="1" si="50"/>
        <v>2.1821915083299115E-2</v>
      </c>
      <c r="E535" s="14">
        <f t="shared" ca="1" si="51"/>
        <v>3.6267331740855786</v>
      </c>
      <c r="F535" s="13">
        <f t="shared" ca="1" si="52"/>
        <v>0.23105185945136708</v>
      </c>
      <c r="G535" s="10">
        <f t="shared" ca="1" si="53"/>
        <v>2.1356428109718042</v>
      </c>
    </row>
    <row r="536" spans="1:7">
      <c r="A536" s="8">
        <v>531</v>
      </c>
      <c r="B536" s="9">
        <f t="shared" ca="1" si="48"/>
        <v>0.25159877347147708</v>
      </c>
      <c r="C536" s="10">
        <f t="shared" ca="1" si="49"/>
        <v>4.3472406857389592</v>
      </c>
      <c r="D536" s="9">
        <f t="shared" ca="1" si="50"/>
        <v>0.47910677116010614</v>
      </c>
      <c r="E536" s="10">
        <f t="shared" ca="1" si="51"/>
        <v>6.2714510199428934</v>
      </c>
      <c r="F536" s="9">
        <f t="shared" ca="1" si="52"/>
        <v>5.5956709089326484E-2</v>
      </c>
      <c r="G536" s="10">
        <f t="shared" ca="1" si="53"/>
        <v>1.2791671437540586</v>
      </c>
    </row>
    <row r="537" spans="1:7">
      <c r="A537" s="8">
        <v>532</v>
      </c>
      <c r="B537" s="13">
        <f t="shared" ca="1" si="48"/>
        <v>0.12131157753926125</v>
      </c>
      <c r="C537" s="14">
        <f t="shared" ca="1" si="49"/>
        <v>1.9398736848891727</v>
      </c>
      <c r="D537" s="13">
        <f t="shared" ca="1" si="50"/>
        <v>0.49109415285700009</v>
      </c>
      <c r="E537" s="14">
        <f t="shared" ca="1" si="51"/>
        <v>6.3377505909745553</v>
      </c>
      <c r="F537" s="13">
        <f t="shared" ca="1" si="52"/>
        <v>0.32423766364739937</v>
      </c>
      <c r="G537" s="10">
        <f t="shared" ca="1" si="53"/>
        <v>2.5255811928904741</v>
      </c>
    </row>
    <row r="538" spans="1:7">
      <c r="A538" s="8">
        <v>533</v>
      </c>
      <c r="B538" s="9">
        <f t="shared" ca="1" si="48"/>
        <v>9.8716336843974739E-3</v>
      </c>
      <c r="C538" s="10">
        <f t="shared" ca="1" si="49"/>
        <v>0.14881021970942196</v>
      </c>
      <c r="D538" s="9">
        <f t="shared" ca="1" si="50"/>
        <v>0.89151259663730709</v>
      </c>
      <c r="E538" s="10">
        <f t="shared" ca="1" si="51"/>
        <v>9.3856728567660745</v>
      </c>
      <c r="F538" s="9">
        <f t="shared" ca="1" si="52"/>
        <v>0.1543122401314927</v>
      </c>
      <c r="G538" s="10">
        <f t="shared" ca="1" si="53"/>
        <v>1.8024240991441021</v>
      </c>
    </row>
    <row r="539" spans="1:7">
      <c r="A539" s="8">
        <v>534</v>
      </c>
      <c r="B539" s="13">
        <f t="shared" ca="1" si="48"/>
        <v>0.55004721538634282</v>
      </c>
      <c r="C539" s="14">
        <f t="shared" ca="1" si="49"/>
        <v>11.979189372050174</v>
      </c>
      <c r="D539" s="13">
        <f t="shared" ca="1" si="50"/>
        <v>0.17192503791155922</v>
      </c>
      <c r="E539" s="14">
        <f t="shared" ca="1" si="51"/>
        <v>4.759161926147808</v>
      </c>
      <c r="F539" s="13">
        <f t="shared" ca="1" si="52"/>
        <v>0.45228607578354907</v>
      </c>
      <c r="G539" s="10">
        <f t="shared" ca="1" si="53"/>
        <v>3.0896796514542424</v>
      </c>
    </row>
    <row r="540" spans="1:7">
      <c r="A540" s="8">
        <v>535</v>
      </c>
      <c r="B540" s="9">
        <f t="shared" ca="1" si="48"/>
        <v>0.93519481235910151</v>
      </c>
      <c r="C540" s="10">
        <f t="shared" ca="1" si="49"/>
        <v>41.045544339622928</v>
      </c>
      <c r="D540" s="9">
        <f t="shared" ca="1" si="50"/>
        <v>0.24922113501960552</v>
      </c>
      <c r="E540" s="10">
        <f t="shared" ca="1" si="51"/>
        <v>5.1225681760002271</v>
      </c>
      <c r="F540" s="9">
        <f t="shared" ca="1" si="52"/>
        <v>0.35468381417427608</v>
      </c>
      <c r="G540" s="10">
        <f t="shared" ca="1" si="53"/>
        <v>2.6548195560559593</v>
      </c>
    </row>
    <row r="541" spans="1:7">
      <c r="A541" s="8">
        <v>536</v>
      </c>
      <c r="B541" s="13">
        <f t="shared" ca="1" si="48"/>
        <v>0.22590501534711593</v>
      </c>
      <c r="C541" s="14">
        <f t="shared" ca="1" si="49"/>
        <v>3.8409104059803152</v>
      </c>
      <c r="D541" s="13">
        <f t="shared" ca="1" si="50"/>
        <v>0.44703001804160902</v>
      </c>
      <c r="E541" s="14">
        <f t="shared" ca="1" si="51"/>
        <v>6.0977030857996786</v>
      </c>
      <c r="F541" s="13">
        <f t="shared" ca="1" si="52"/>
        <v>0.73540796486816962</v>
      </c>
      <c r="G541" s="10">
        <f t="shared" ca="1" si="53"/>
        <v>4.8430816298411381</v>
      </c>
    </row>
    <row r="542" spans="1:7">
      <c r="A542" s="8">
        <v>537</v>
      </c>
      <c r="B542" s="9">
        <f t="shared" ca="1" si="48"/>
        <v>0.15985360533732107</v>
      </c>
      <c r="C542" s="10">
        <f t="shared" ca="1" si="49"/>
        <v>2.6126868445399376</v>
      </c>
      <c r="D542" s="9">
        <f t="shared" ca="1" si="50"/>
        <v>0.44010492897523623</v>
      </c>
      <c r="E542" s="10">
        <f t="shared" ca="1" si="51"/>
        <v>6.0608595340268199</v>
      </c>
      <c r="F542" s="9">
        <f t="shared" ca="1" si="52"/>
        <v>0.16567335652259541</v>
      </c>
      <c r="G542" s="10">
        <f t="shared" ca="1" si="53"/>
        <v>1.8536507788082019</v>
      </c>
    </row>
    <row r="543" spans="1:7">
      <c r="A543" s="8">
        <v>538</v>
      </c>
      <c r="B543" s="13">
        <f t="shared" ca="1" si="48"/>
        <v>0.2340721512597761</v>
      </c>
      <c r="C543" s="14">
        <f t="shared" ca="1" si="49"/>
        <v>4.0000095888457858</v>
      </c>
      <c r="D543" s="13">
        <f t="shared" ca="1" si="50"/>
        <v>6.2791149325413853E-2</v>
      </c>
      <c r="E543" s="14">
        <f t="shared" ca="1" si="51"/>
        <v>4.0631277852908605</v>
      </c>
      <c r="F543" s="13">
        <f t="shared" ca="1" si="52"/>
        <v>0.77497722189006824</v>
      </c>
      <c r="G543" s="10">
        <f t="shared" ca="1" si="53"/>
        <v>5.2236868600519024</v>
      </c>
    </row>
    <row r="544" spans="1:7">
      <c r="A544" s="8">
        <v>539</v>
      </c>
      <c r="B544" s="9">
        <f t="shared" ca="1" si="48"/>
        <v>0.21444653560043792</v>
      </c>
      <c r="C544" s="10">
        <f t="shared" ca="1" si="49"/>
        <v>3.6205013916048778</v>
      </c>
      <c r="D544" s="9">
        <f t="shared" ca="1" si="50"/>
        <v>0.61104564515953819</v>
      </c>
      <c r="E544" s="10">
        <f t="shared" ca="1" si="51"/>
        <v>7.0498359264617205</v>
      </c>
      <c r="F544" s="9">
        <f t="shared" ca="1" si="52"/>
        <v>0.36511701840335908</v>
      </c>
      <c r="G544" s="10">
        <f t="shared" ca="1" si="53"/>
        <v>2.6996211919216115</v>
      </c>
    </row>
    <row r="545" spans="1:7">
      <c r="A545" s="8">
        <v>540</v>
      </c>
      <c r="B545" s="13">
        <f t="shared" ca="1" si="48"/>
        <v>0.14737961161114865</v>
      </c>
      <c r="C545" s="14">
        <f t="shared" ca="1" si="49"/>
        <v>2.3916129261503554</v>
      </c>
      <c r="D545" s="13">
        <f t="shared" ca="1" si="50"/>
        <v>0.13235659166320146</v>
      </c>
      <c r="E545" s="14">
        <f t="shared" ca="1" si="51"/>
        <v>4.5435085519483289</v>
      </c>
      <c r="F545" s="13">
        <f t="shared" ca="1" si="52"/>
        <v>0.4099587311085785</v>
      </c>
      <c r="G545" s="10">
        <f t="shared" ca="1" si="53"/>
        <v>2.8962283396499191</v>
      </c>
    </row>
    <row r="546" spans="1:7">
      <c r="A546" s="8">
        <v>541</v>
      </c>
      <c r="B546" s="9">
        <f t="shared" ca="1" si="48"/>
        <v>0.99792129652027017</v>
      </c>
      <c r="C546" s="10">
        <f t="shared" ca="1" si="49"/>
        <v>92.640163600064284</v>
      </c>
      <c r="D546" s="9">
        <f t="shared" ca="1" si="50"/>
        <v>0.68339718440683572</v>
      </c>
      <c r="E546" s="10">
        <f t="shared" ca="1" si="51"/>
        <v>7.5339080414338362</v>
      </c>
      <c r="F546" s="9">
        <f t="shared" ca="1" si="52"/>
        <v>0.24526287598868579</v>
      </c>
      <c r="G546" s="10">
        <f t="shared" ca="1" si="53"/>
        <v>2.1952946822152306</v>
      </c>
    </row>
    <row r="547" spans="1:7">
      <c r="A547" s="8">
        <v>542</v>
      </c>
      <c r="B547" s="13">
        <f t="shared" ca="1" si="48"/>
        <v>0.31779271194043168</v>
      </c>
      <c r="C547" s="14">
        <f t="shared" ca="1" si="49"/>
        <v>5.7363258882479826</v>
      </c>
      <c r="D547" s="13">
        <f t="shared" ca="1" si="50"/>
        <v>0.25951358440973282</v>
      </c>
      <c r="E547" s="14">
        <f t="shared" ca="1" si="51"/>
        <v>5.169872315821114</v>
      </c>
      <c r="F547" s="13">
        <f t="shared" ca="1" si="52"/>
        <v>0.61964685760532701</v>
      </c>
      <c r="G547" s="10">
        <f t="shared" ca="1" si="53"/>
        <v>3.9857761643503262</v>
      </c>
    </row>
    <row r="548" spans="1:7">
      <c r="A548" s="8">
        <v>543</v>
      </c>
      <c r="B548" s="9">
        <f t="shared" ca="1" si="48"/>
        <v>0.12863657377211624</v>
      </c>
      <c r="C548" s="10">
        <f t="shared" ca="1" si="49"/>
        <v>2.0654420618722504</v>
      </c>
      <c r="D548" s="9">
        <f t="shared" ca="1" si="50"/>
        <v>0.2324838860077314</v>
      </c>
      <c r="E548" s="10">
        <f t="shared" ca="1" si="51"/>
        <v>5.0463308116137044</v>
      </c>
      <c r="F548" s="9">
        <f t="shared" ca="1" si="52"/>
        <v>0.36370132650333187</v>
      </c>
      <c r="G548" s="10">
        <f t="shared" ca="1" si="53"/>
        <v>2.6935240942273948</v>
      </c>
    </row>
    <row r="549" spans="1:7">
      <c r="A549" s="8">
        <v>544</v>
      </c>
      <c r="B549" s="13">
        <f t="shared" ca="1" si="48"/>
        <v>0.84870251332447599</v>
      </c>
      <c r="C549" s="14">
        <f t="shared" ca="1" si="49"/>
        <v>28.327609047835708</v>
      </c>
      <c r="D549" s="13">
        <f t="shared" ca="1" si="50"/>
        <v>0.90708179496121755</v>
      </c>
      <c r="E549" s="14">
        <f t="shared" ca="1" si="51"/>
        <v>9.5805275538987225</v>
      </c>
      <c r="F549" s="13">
        <f t="shared" ca="1" si="52"/>
        <v>0.24662234127879257</v>
      </c>
      <c r="G549" s="10">
        <f t="shared" ca="1" si="53"/>
        <v>2.2009864279674614</v>
      </c>
    </row>
    <row r="550" spans="1:7">
      <c r="A550" s="8">
        <v>545</v>
      </c>
      <c r="B550" s="9">
        <f t="shared" ca="1" si="48"/>
        <v>0.37338574216980214</v>
      </c>
      <c r="C550" s="10">
        <f t="shared" ca="1" si="49"/>
        <v>7.0113621966833071</v>
      </c>
      <c r="D550" s="9">
        <f t="shared" ca="1" si="50"/>
        <v>0.46333347324796104</v>
      </c>
      <c r="E550" s="10">
        <f t="shared" ca="1" si="51"/>
        <v>6.1853640539257793</v>
      </c>
      <c r="F550" s="9">
        <f t="shared" ca="1" si="52"/>
        <v>0.56369239704623686</v>
      </c>
      <c r="G550" s="10">
        <f t="shared" ca="1" si="53"/>
        <v>3.6553889774922315</v>
      </c>
    </row>
    <row r="551" spans="1:7">
      <c r="A551" s="8">
        <v>546</v>
      </c>
      <c r="B551" s="13">
        <f t="shared" ca="1" si="48"/>
        <v>0.6124425467732606</v>
      </c>
      <c r="C551" s="14">
        <f t="shared" ca="1" si="49"/>
        <v>14.218367621812874</v>
      </c>
      <c r="D551" s="13">
        <f t="shared" ca="1" si="50"/>
        <v>0.36339856678550819</v>
      </c>
      <c r="E551" s="14">
        <f t="shared" ca="1" si="51"/>
        <v>5.6670788499687621</v>
      </c>
      <c r="F551" s="13">
        <f t="shared" ca="1" si="52"/>
        <v>1.1089783940863907E-2</v>
      </c>
      <c r="G551" s="10">
        <f t="shared" ca="1" si="53"/>
        <v>0.84167009854965602</v>
      </c>
    </row>
    <row r="552" spans="1:7">
      <c r="A552" s="8">
        <v>547</v>
      </c>
      <c r="B552" s="9">
        <f t="shared" ca="1" si="48"/>
        <v>0.22233858884656899</v>
      </c>
      <c r="C552" s="10">
        <f t="shared" ca="1" si="49"/>
        <v>3.7719608055830198</v>
      </c>
      <c r="D552" s="9">
        <f t="shared" ca="1" si="50"/>
        <v>0.57513578556816813</v>
      </c>
      <c r="E552" s="10">
        <f t="shared" ca="1" si="51"/>
        <v>6.8263701805013719</v>
      </c>
      <c r="F552" s="9">
        <f t="shared" ca="1" si="52"/>
        <v>0.3648926924398882</v>
      </c>
      <c r="G552" s="10">
        <f t="shared" ca="1" si="53"/>
        <v>2.6986546768409649</v>
      </c>
    </row>
    <row r="553" spans="1:7">
      <c r="A553" s="8">
        <v>548</v>
      </c>
      <c r="B553" s="13">
        <f t="shared" ca="1" si="48"/>
        <v>0.88620263697078794</v>
      </c>
      <c r="C553" s="14">
        <f t="shared" ca="1" si="49"/>
        <v>32.600038943005053</v>
      </c>
      <c r="D553" s="13">
        <f t="shared" ca="1" si="50"/>
        <v>0.435157452530198</v>
      </c>
      <c r="E553" s="14">
        <f t="shared" ca="1" si="51"/>
        <v>6.0346768326772509</v>
      </c>
      <c r="F553" s="13">
        <f t="shared" ca="1" si="52"/>
        <v>0.44379810522308427</v>
      </c>
      <c r="G553" s="10">
        <f t="shared" ca="1" si="53"/>
        <v>3.0501540431507301</v>
      </c>
    </row>
    <row r="554" spans="1:7">
      <c r="A554" s="8">
        <v>549</v>
      </c>
      <c r="B554" s="9">
        <f t="shared" ca="1" si="48"/>
        <v>0.34648298488265472</v>
      </c>
      <c r="C554" s="10">
        <f t="shared" ca="1" si="49"/>
        <v>6.3808006402788786</v>
      </c>
      <c r="D554" s="9">
        <f t="shared" ca="1" si="50"/>
        <v>0.31274599755150967</v>
      </c>
      <c r="E554" s="10">
        <f t="shared" ca="1" si="51"/>
        <v>5.4199542437567434</v>
      </c>
      <c r="F554" s="9">
        <f t="shared" ca="1" si="52"/>
        <v>0.77316341156167046</v>
      </c>
      <c r="G554" s="10">
        <f t="shared" ca="1" si="53"/>
        <v>5.2048100989472967</v>
      </c>
    </row>
    <row r="555" spans="1:7">
      <c r="A555" s="8">
        <v>550</v>
      </c>
      <c r="B555" s="13">
        <f t="shared" ca="1" si="48"/>
        <v>0.20093167615439089</v>
      </c>
      <c r="C555" s="14">
        <f t="shared" ca="1" si="49"/>
        <v>3.3646323776272036</v>
      </c>
      <c r="D555" s="13">
        <f t="shared" ca="1" si="50"/>
        <v>0.60585825527143433</v>
      </c>
      <c r="E555" s="14">
        <f t="shared" ca="1" si="51"/>
        <v>7.0169356899695101</v>
      </c>
      <c r="F555" s="13">
        <f t="shared" ca="1" si="52"/>
        <v>0.27219598976931159</v>
      </c>
      <c r="G555" s="10">
        <f t="shared" ca="1" si="53"/>
        <v>2.3077870094585577</v>
      </c>
    </row>
    <row r="556" spans="1:7">
      <c r="A556" s="8">
        <v>551</v>
      </c>
      <c r="B556" s="9">
        <f t="shared" ca="1" si="48"/>
        <v>0.18448185465438249</v>
      </c>
      <c r="C556" s="10">
        <f t="shared" ca="1" si="49"/>
        <v>3.0589740988727723</v>
      </c>
      <c r="D556" s="9">
        <f t="shared" ca="1" si="50"/>
        <v>0.86202745180722562</v>
      </c>
      <c r="E556" s="10">
        <f t="shared" ca="1" si="51"/>
        <v>9.0517343172392373</v>
      </c>
      <c r="F556" s="9">
        <f t="shared" ca="1" si="52"/>
        <v>0.4005645155372799</v>
      </c>
      <c r="G556" s="10">
        <f t="shared" ca="1" si="53"/>
        <v>2.8544188964824735</v>
      </c>
    </row>
    <row r="557" spans="1:7">
      <c r="A557" s="8">
        <v>552</v>
      </c>
      <c r="B557" s="13">
        <f t="shared" ca="1" si="48"/>
        <v>0.98893415032288068</v>
      </c>
      <c r="C557" s="14">
        <f t="shared" ca="1" si="49"/>
        <v>67.558372782144659</v>
      </c>
      <c r="D557" s="13">
        <f t="shared" ca="1" si="50"/>
        <v>0.6856342176335698</v>
      </c>
      <c r="E557" s="14">
        <f t="shared" ca="1" si="51"/>
        <v>7.5497141340038496</v>
      </c>
      <c r="F557" s="13">
        <f t="shared" ca="1" si="52"/>
        <v>0.92640769925386279</v>
      </c>
      <c r="G557" s="10">
        <f t="shared" ca="1" si="53"/>
        <v>7.9226742699478656</v>
      </c>
    </row>
    <row r="558" spans="1:7">
      <c r="A558" s="8">
        <v>553</v>
      </c>
      <c r="B558" s="9">
        <f t="shared" ca="1" si="48"/>
        <v>0.44561712891325456</v>
      </c>
      <c r="C558" s="10">
        <f t="shared" ca="1" si="49"/>
        <v>8.8484959183788536</v>
      </c>
      <c r="D558" s="9">
        <f t="shared" ca="1" si="50"/>
        <v>0.78452718261510435</v>
      </c>
      <c r="E558" s="10">
        <f t="shared" ca="1" si="51"/>
        <v>8.3156021529633328</v>
      </c>
      <c r="F558" s="9">
        <f t="shared" ca="1" si="52"/>
        <v>0.14911611071854203</v>
      </c>
      <c r="G558" s="10">
        <f t="shared" ca="1" si="53"/>
        <v>1.7786611544815272</v>
      </c>
    </row>
    <row r="559" spans="1:7">
      <c r="A559" s="8">
        <v>554</v>
      </c>
      <c r="B559" s="13">
        <f t="shared" ca="1" si="48"/>
        <v>0.90391890269713104</v>
      </c>
      <c r="C559" s="14">
        <f t="shared" ca="1" si="49"/>
        <v>35.138440208320112</v>
      </c>
      <c r="D559" s="13">
        <f t="shared" ca="1" si="50"/>
        <v>0.37839029929050283</v>
      </c>
      <c r="E559" s="14">
        <f t="shared" ca="1" si="51"/>
        <v>5.7420921112005558</v>
      </c>
      <c r="F559" s="13">
        <f t="shared" ca="1" si="52"/>
        <v>0.80286440954336702</v>
      </c>
      <c r="G559" s="10">
        <f t="shared" ca="1" si="53"/>
        <v>5.5352586098875092</v>
      </c>
    </row>
    <row r="560" spans="1:7">
      <c r="A560" s="8">
        <v>555</v>
      </c>
      <c r="B560" s="9">
        <f t="shared" ca="1" si="48"/>
        <v>0.77155098455686943</v>
      </c>
      <c r="C560" s="10">
        <f t="shared" ca="1" si="49"/>
        <v>22.146633310619837</v>
      </c>
      <c r="D560" s="9">
        <f t="shared" ca="1" si="50"/>
        <v>0.67947692259576198</v>
      </c>
      <c r="E560" s="10">
        <f t="shared" ca="1" si="51"/>
        <v>7.5063429284749601</v>
      </c>
      <c r="F560" s="9">
        <f t="shared" ca="1" si="52"/>
        <v>0.62660080218925218</v>
      </c>
      <c r="G560" s="10">
        <f t="shared" ca="1" si="53"/>
        <v>4.0298061686633915</v>
      </c>
    </row>
    <row r="561" spans="1:7">
      <c r="A561" s="8">
        <v>556</v>
      </c>
      <c r="B561" s="13">
        <f t="shared" ca="1" si="48"/>
        <v>0.9627148616018224</v>
      </c>
      <c r="C561" s="14">
        <f t="shared" ca="1" si="49"/>
        <v>49.337406991404613</v>
      </c>
      <c r="D561" s="13">
        <f t="shared" ca="1" si="50"/>
        <v>8.1345949235480774E-2</v>
      </c>
      <c r="E561" s="14">
        <f t="shared" ca="1" si="51"/>
        <v>4.2100525138351035</v>
      </c>
      <c r="F561" s="13">
        <f t="shared" ca="1" si="52"/>
        <v>0.96581424870776711</v>
      </c>
      <c r="G561" s="10">
        <f t="shared" ca="1" si="53"/>
        <v>9.9098606238045654</v>
      </c>
    </row>
    <row r="562" spans="1:7">
      <c r="A562" s="8">
        <v>557</v>
      </c>
      <c r="B562" s="9">
        <f t="shared" ca="1" si="48"/>
        <v>0.82223860145763428</v>
      </c>
      <c r="C562" s="10">
        <f t="shared" ca="1" si="49"/>
        <v>25.909696283013009</v>
      </c>
      <c r="D562" s="9">
        <f t="shared" ca="1" si="50"/>
        <v>0.11262114048093541</v>
      </c>
      <c r="E562" s="10">
        <f t="shared" ca="1" si="51"/>
        <v>4.4237909006089478</v>
      </c>
      <c r="F562" s="9">
        <f t="shared" ca="1" si="52"/>
        <v>0.8190584294189357</v>
      </c>
      <c r="G562" s="10">
        <f t="shared" ca="1" si="53"/>
        <v>5.7377640428538239</v>
      </c>
    </row>
    <row r="563" spans="1:7">
      <c r="A563" s="8">
        <v>558</v>
      </c>
      <c r="B563" s="13">
        <f t="shared" ca="1" si="48"/>
        <v>0.56931700798309259</v>
      </c>
      <c r="C563" s="14">
        <f t="shared" ca="1" si="49"/>
        <v>12.635744652992342</v>
      </c>
      <c r="D563" s="13">
        <f t="shared" ca="1" si="50"/>
        <v>0.74915848362280457</v>
      </c>
      <c r="E563" s="14">
        <f t="shared" ca="1" si="51"/>
        <v>8.0246993155531854</v>
      </c>
      <c r="F563" s="13">
        <f t="shared" ca="1" si="52"/>
        <v>0.7785390968517264</v>
      </c>
      <c r="G563" s="10">
        <f t="shared" ca="1" si="53"/>
        <v>5.2612107847353586</v>
      </c>
    </row>
    <row r="564" spans="1:7">
      <c r="A564" s="8">
        <v>559</v>
      </c>
      <c r="B564" s="9">
        <f t="shared" ca="1" si="48"/>
        <v>0.78031751887068634</v>
      </c>
      <c r="C564" s="10">
        <f t="shared" ca="1" si="49"/>
        <v>22.733580641065249</v>
      </c>
      <c r="D564" s="9">
        <f t="shared" ca="1" si="50"/>
        <v>0.22097817902898831</v>
      </c>
      <c r="E564" s="10">
        <f t="shared" ca="1" si="51"/>
        <v>4.9943939486775903</v>
      </c>
      <c r="F564" s="9">
        <f t="shared" ca="1" si="52"/>
        <v>0.4879477245375401</v>
      </c>
      <c r="G564" s="10">
        <f t="shared" ca="1" si="53"/>
        <v>3.2604685015830861</v>
      </c>
    </row>
    <row r="565" spans="1:7">
      <c r="A565" s="8">
        <v>560</v>
      </c>
      <c r="B565" s="13">
        <f t="shared" ca="1" si="48"/>
        <v>0.44298370827870204</v>
      </c>
      <c r="C565" s="14">
        <f t="shared" ca="1" si="49"/>
        <v>8.7774118564769097</v>
      </c>
      <c r="D565" s="13">
        <f t="shared" ca="1" si="50"/>
        <v>0.8510376681838635</v>
      </c>
      <c r="E565" s="14">
        <f t="shared" ca="1" si="51"/>
        <v>8.936566157982746</v>
      </c>
      <c r="F565" s="13">
        <f t="shared" ca="1" si="52"/>
        <v>0.10904273568356648</v>
      </c>
      <c r="G565" s="10">
        <f t="shared" ca="1" si="53"/>
        <v>1.5856890066578662</v>
      </c>
    </row>
    <row r="566" spans="1:7">
      <c r="A566" s="8">
        <v>561</v>
      </c>
      <c r="B566" s="9">
        <f t="shared" ca="1" si="48"/>
        <v>0.68448190662553987</v>
      </c>
      <c r="C566" s="10">
        <f t="shared" ca="1" si="49"/>
        <v>17.303088755852901</v>
      </c>
      <c r="D566" s="9">
        <f t="shared" ca="1" si="50"/>
        <v>0.71390915301947588</v>
      </c>
      <c r="E566" s="10">
        <f t="shared" ca="1" si="51"/>
        <v>7.7545644087122207</v>
      </c>
      <c r="F566" s="9">
        <f t="shared" ca="1" si="52"/>
        <v>7.1437404117249081E-2</v>
      </c>
      <c r="G566" s="10">
        <f t="shared" ca="1" si="53"/>
        <v>1.3783657867736627</v>
      </c>
    </row>
    <row r="567" spans="1:7">
      <c r="A567" s="8">
        <v>562</v>
      </c>
      <c r="B567" s="13">
        <f t="shared" ca="1" si="48"/>
        <v>0.70891936402832212</v>
      </c>
      <c r="C567" s="14">
        <f t="shared" ca="1" si="49"/>
        <v>18.512324259549089</v>
      </c>
      <c r="D567" s="13">
        <f t="shared" ca="1" si="50"/>
        <v>0.81641792320054973</v>
      </c>
      <c r="E567" s="14">
        <f t="shared" ca="1" si="51"/>
        <v>8.5991661554310888</v>
      </c>
      <c r="F567" s="13">
        <f t="shared" ca="1" si="52"/>
        <v>0.4990886358075044</v>
      </c>
      <c r="G567" s="10">
        <f t="shared" ca="1" si="53"/>
        <v>3.3155692490153714</v>
      </c>
    </row>
    <row r="568" spans="1:7">
      <c r="A568" s="8">
        <v>563</v>
      </c>
      <c r="B568" s="9">
        <f t="shared" ca="1" si="48"/>
        <v>0.69677789095292231</v>
      </c>
      <c r="C568" s="10">
        <f t="shared" ca="1" si="49"/>
        <v>17.899345632775173</v>
      </c>
      <c r="D568" s="9">
        <f t="shared" ca="1" si="50"/>
        <v>0.79951891333720337</v>
      </c>
      <c r="E568" s="10">
        <f t="shared" ca="1" si="51"/>
        <v>8.4460854737689335</v>
      </c>
      <c r="F568" s="9">
        <f t="shared" ca="1" si="52"/>
        <v>0.68576218850875348</v>
      </c>
      <c r="G568" s="10">
        <f t="shared" ca="1" si="53"/>
        <v>4.4385339098842325</v>
      </c>
    </row>
    <row r="569" spans="1:7">
      <c r="A569" s="8">
        <v>564</v>
      </c>
      <c r="B569" s="13">
        <f t="shared" ca="1" si="48"/>
        <v>0.10321598390053921</v>
      </c>
      <c r="C569" s="14">
        <f t="shared" ca="1" si="49"/>
        <v>1.6341034596615911</v>
      </c>
      <c r="D569" s="13">
        <f t="shared" ca="1" si="50"/>
        <v>0.36994724505067045</v>
      </c>
      <c r="E569" s="14">
        <f t="shared" ca="1" si="51"/>
        <v>5.6997362307751143</v>
      </c>
      <c r="F569" s="13">
        <f t="shared" ca="1" si="52"/>
        <v>2.6274002214782266E-2</v>
      </c>
      <c r="G569" s="10">
        <f t="shared" ca="1" si="53"/>
        <v>1.0375164842031863</v>
      </c>
    </row>
    <row r="570" spans="1:7">
      <c r="A570" s="8">
        <v>565</v>
      </c>
      <c r="B570" s="9">
        <f t="shared" ca="1" si="48"/>
        <v>0.63046872135401211</v>
      </c>
      <c r="C570" s="10">
        <f t="shared" ca="1" si="49"/>
        <v>14.932798363529022</v>
      </c>
      <c r="D570" s="9">
        <f t="shared" ca="1" si="50"/>
        <v>0.84239514962751894</v>
      </c>
      <c r="E570" s="10">
        <f t="shared" ca="1" si="51"/>
        <v>8.8489516707187263</v>
      </c>
      <c r="F570" s="9">
        <f t="shared" ca="1" si="52"/>
        <v>0.65109163422358152</v>
      </c>
      <c r="G570" s="10">
        <f t="shared" ca="1" si="53"/>
        <v>4.1910931628344441</v>
      </c>
    </row>
    <row r="571" spans="1:7">
      <c r="A571" s="8">
        <v>566</v>
      </c>
      <c r="B571" s="13">
        <f t="shared" ca="1" si="48"/>
        <v>7.008219281456296E-2</v>
      </c>
      <c r="C571" s="14">
        <f t="shared" ca="1" si="49"/>
        <v>1.0898861416652987</v>
      </c>
      <c r="D571" s="13">
        <f t="shared" ca="1" si="50"/>
        <v>0.14596768974464647</v>
      </c>
      <c r="E571" s="14">
        <f t="shared" ca="1" si="51"/>
        <v>4.6209313419770854</v>
      </c>
      <c r="F571" s="13">
        <f t="shared" ca="1" si="52"/>
        <v>0.10307720852789271</v>
      </c>
      <c r="G571" s="10">
        <f t="shared" ca="1" si="53"/>
        <v>1.554996958315495</v>
      </c>
    </row>
    <row r="572" spans="1:7">
      <c r="A572" s="8">
        <v>567</v>
      </c>
      <c r="B572" s="9">
        <f t="shared" ca="1" si="48"/>
        <v>0.81921779918081428</v>
      </c>
      <c r="C572" s="10">
        <f t="shared" ca="1" si="49"/>
        <v>25.656934240002062</v>
      </c>
      <c r="D572" s="9">
        <f t="shared" ca="1" si="50"/>
        <v>0.33477889062193344</v>
      </c>
      <c r="E572" s="10">
        <f t="shared" ca="1" si="51"/>
        <v>5.5262893259879</v>
      </c>
      <c r="F572" s="9">
        <f t="shared" ca="1" si="52"/>
        <v>0.69557511297882035</v>
      </c>
      <c r="G572" s="10">
        <f t="shared" ca="1" si="53"/>
        <v>4.5133045921422985</v>
      </c>
    </row>
    <row r="573" spans="1:7">
      <c r="A573" s="8">
        <v>568</v>
      </c>
      <c r="B573" s="13">
        <f t="shared" ca="1" si="48"/>
        <v>0.65794548569297084</v>
      </c>
      <c r="C573" s="14">
        <f t="shared" ca="1" si="49"/>
        <v>16.091777340953513</v>
      </c>
      <c r="D573" s="13">
        <f t="shared" ca="1" si="50"/>
        <v>0.68918584362259139</v>
      </c>
      <c r="E573" s="14">
        <f t="shared" ca="1" si="51"/>
        <v>7.5749246501582892</v>
      </c>
      <c r="F573" s="13">
        <f t="shared" ca="1" si="52"/>
        <v>0.83288469086682881</v>
      </c>
      <c r="G573" s="10">
        <f t="shared" ca="1" si="53"/>
        <v>5.9261602432091056</v>
      </c>
    </row>
    <row r="574" spans="1:7">
      <c r="A574" s="8">
        <v>569</v>
      </c>
      <c r="B574" s="9">
        <f t="shared" ca="1" si="48"/>
        <v>0.18447290563206253</v>
      </c>
      <c r="C574" s="10">
        <f t="shared" ca="1" si="49"/>
        <v>3.0588094984907199</v>
      </c>
      <c r="D574" s="9">
        <f t="shared" ca="1" si="50"/>
        <v>0.2630311835013649</v>
      </c>
      <c r="E574" s="10">
        <f t="shared" ca="1" si="51"/>
        <v>5.1861145123054788</v>
      </c>
      <c r="F574" s="9">
        <f t="shared" ca="1" si="52"/>
        <v>0.38098906466455651</v>
      </c>
      <c r="G574" s="10">
        <f t="shared" ca="1" si="53"/>
        <v>2.7683998812399193</v>
      </c>
    </row>
    <row r="575" spans="1:7">
      <c r="A575" s="8">
        <v>570</v>
      </c>
      <c r="B575" s="13">
        <f t="shared" ca="1" si="48"/>
        <v>0.12832715952645779</v>
      </c>
      <c r="C575" s="14">
        <f t="shared" ca="1" si="49"/>
        <v>2.0601166262260833</v>
      </c>
      <c r="D575" s="13">
        <f t="shared" ca="1" si="50"/>
        <v>0.82101712353648093</v>
      </c>
      <c r="E575" s="14">
        <f t="shared" ca="1" si="51"/>
        <v>8.6420361501049925</v>
      </c>
      <c r="F575" s="13">
        <f t="shared" ca="1" si="52"/>
        <v>0.94403010777344987</v>
      </c>
      <c r="G575" s="10">
        <f t="shared" ca="1" si="53"/>
        <v>8.6168592792249772</v>
      </c>
    </row>
    <row r="576" spans="1:7">
      <c r="A576" s="8">
        <v>571</v>
      </c>
      <c r="B576" s="9">
        <f t="shared" ca="1" si="48"/>
        <v>0.74756363187563069</v>
      </c>
      <c r="C576" s="10">
        <f t="shared" ca="1" si="49"/>
        <v>20.648941041812559</v>
      </c>
      <c r="D576" s="9">
        <f t="shared" ca="1" si="50"/>
        <v>0.62856342818042232</v>
      </c>
      <c r="E576" s="10">
        <f t="shared" ca="1" si="51"/>
        <v>7.1625932541667128</v>
      </c>
      <c r="F576" s="9">
        <f t="shared" ca="1" si="52"/>
        <v>0.47093573722591786</v>
      </c>
      <c r="G576" s="10">
        <f t="shared" ca="1" si="53"/>
        <v>3.1779911350838326</v>
      </c>
    </row>
    <row r="577" spans="1:7">
      <c r="A577" s="8">
        <v>572</v>
      </c>
      <c r="B577" s="13">
        <f t="shared" ca="1" si="48"/>
        <v>0.85680373164863843</v>
      </c>
      <c r="C577" s="14">
        <f t="shared" ca="1" si="49"/>
        <v>29.153086256910079</v>
      </c>
      <c r="D577" s="13">
        <f t="shared" ca="1" si="50"/>
        <v>0.79948520400685263</v>
      </c>
      <c r="E577" s="14">
        <f t="shared" ca="1" si="51"/>
        <v>8.445786704829283</v>
      </c>
      <c r="F577" s="13">
        <f t="shared" ca="1" si="52"/>
        <v>0.11918418541073994</v>
      </c>
      <c r="G577" s="10">
        <f t="shared" ca="1" si="53"/>
        <v>1.6364922642094446</v>
      </c>
    </row>
    <row r="578" spans="1:7">
      <c r="A578" s="8">
        <v>573</v>
      </c>
      <c r="B578" s="9">
        <f t="shared" ca="1" si="48"/>
        <v>0.18977859195276936</v>
      </c>
      <c r="C578" s="10">
        <f t="shared" ca="1" si="49"/>
        <v>3.1567158809839708</v>
      </c>
      <c r="D578" s="9">
        <f t="shared" ca="1" si="50"/>
        <v>0.18946258932187832</v>
      </c>
      <c r="E578" s="10">
        <f t="shared" ca="1" si="51"/>
        <v>4.846706963162756</v>
      </c>
      <c r="F578" s="9">
        <f t="shared" ca="1" si="52"/>
        <v>5.5858589820795168E-2</v>
      </c>
      <c r="G578" s="10">
        <f t="shared" ca="1" si="53"/>
        <v>1.2784990473588382</v>
      </c>
    </row>
    <row r="579" spans="1:7">
      <c r="A579" s="8">
        <v>574</v>
      </c>
      <c r="B579" s="13">
        <f t="shared" ca="1" si="48"/>
        <v>0.95966912605923904</v>
      </c>
      <c r="C579" s="14">
        <f t="shared" ca="1" si="49"/>
        <v>48.159570008820104</v>
      </c>
      <c r="D579" s="13">
        <f t="shared" ca="1" si="50"/>
        <v>0.26127435066741234</v>
      </c>
      <c r="E579" s="14">
        <f t="shared" ca="1" si="51"/>
        <v>5.1779976613934657</v>
      </c>
      <c r="F579" s="13">
        <f t="shared" ca="1" si="52"/>
        <v>0.3144967243700999</v>
      </c>
      <c r="G579" s="10">
        <f t="shared" ca="1" si="53"/>
        <v>2.4846046729834739</v>
      </c>
    </row>
    <row r="580" spans="1:7">
      <c r="A580" s="8">
        <v>575</v>
      </c>
      <c r="B580" s="9">
        <f t="shared" ca="1" si="48"/>
        <v>0.88781739574188556</v>
      </c>
      <c r="C580" s="10">
        <f t="shared" ca="1" si="49"/>
        <v>32.814410102649447</v>
      </c>
      <c r="D580" s="9">
        <f t="shared" ca="1" si="50"/>
        <v>0.1435421162500693</v>
      </c>
      <c r="E580" s="10">
        <f t="shared" ca="1" si="51"/>
        <v>4.6074072578227483</v>
      </c>
      <c r="F580" s="9">
        <f t="shared" ca="1" si="52"/>
        <v>0.87986552904695936</v>
      </c>
      <c r="G580" s="10">
        <f t="shared" ca="1" si="53"/>
        <v>6.7166458683314296</v>
      </c>
    </row>
    <row r="581" spans="1:7">
      <c r="A581" s="8">
        <v>576</v>
      </c>
      <c r="B581" s="13">
        <f t="shared" ca="1" si="48"/>
        <v>0.12694402335653099</v>
      </c>
      <c r="C581" s="14">
        <f t="shared" ca="1" si="49"/>
        <v>2.036334079974135</v>
      </c>
      <c r="D581" s="13">
        <f t="shared" ca="1" si="50"/>
        <v>0.26924248976311349</v>
      </c>
      <c r="E581" s="14">
        <f t="shared" ca="1" si="51"/>
        <v>5.2148895996510234</v>
      </c>
      <c r="F581" s="13">
        <f t="shared" ca="1" si="52"/>
        <v>0.28013984690157112</v>
      </c>
      <c r="G581" s="10">
        <f t="shared" ca="1" si="53"/>
        <v>2.3409207377491268</v>
      </c>
    </row>
    <row r="582" spans="1:7">
      <c r="A582" s="8">
        <v>577</v>
      </c>
      <c r="B582" s="9">
        <f t="shared" ref="B582:B645" ca="1" si="54">RAND()</f>
        <v>0.85496373536617221</v>
      </c>
      <c r="C582" s="10">
        <f t="shared" ref="C582:C645" ca="1" si="55">-$J$6 * LN(1 - B582)</f>
        <v>28.961572003629517</v>
      </c>
      <c r="D582" s="9">
        <f t="shared" ref="D582:D645" ca="1" si="56">RAND()</f>
        <v>3.0871910540008818E-2</v>
      </c>
      <c r="E582" s="10">
        <f t="shared" ref="E582:E645" ca="1" si="57">IF(D582&lt;=$N$9, $N$6+SQRT(D582*($N$8-$N$6)*($N$7-$N$6)), $N$8-SQRT((1-D582)*($N$8-$N$6)*($N$8-$N$7)))</f>
        <v>3.7454491194710466</v>
      </c>
      <c r="F582" s="9">
        <f t="shared" ref="F582:F645" ca="1" si="58">RAND()</f>
        <v>1.963645977142936E-2</v>
      </c>
      <c r="G582" s="10">
        <f t="shared" ca="1" si="53"/>
        <v>0.96387901599903514</v>
      </c>
    </row>
    <row r="583" spans="1:7">
      <c r="A583" s="8">
        <v>578</v>
      </c>
      <c r="B583" s="13">
        <f t="shared" ca="1" si="54"/>
        <v>0.55037187257037745</v>
      </c>
      <c r="C583" s="14">
        <f t="shared" ca="1" si="55"/>
        <v>11.990016320258507</v>
      </c>
      <c r="D583" s="13">
        <f t="shared" ca="1" si="56"/>
        <v>0.65682584529689525</v>
      </c>
      <c r="E583" s="14">
        <f t="shared" ca="1" si="57"/>
        <v>7.3502718631843003</v>
      </c>
      <c r="F583" s="13">
        <f t="shared" ca="1" si="58"/>
        <v>0.22097543278066556</v>
      </c>
      <c r="G583" s="10">
        <f t="shared" ref="G583:G646" ca="1" si="59">_xlfn.LOGNORM.INV(F583, $R$6, $R$7)</f>
        <v>2.0931250090235958</v>
      </c>
    </row>
    <row r="584" spans="1:7">
      <c r="A584" s="8">
        <v>579</v>
      </c>
      <c r="B584" s="9">
        <f t="shared" ca="1" si="54"/>
        <v>0.68706662181595557</v>
      </c>
      <c r="C584" s="10">
        <f t="shared" ca="1" si="55"/>
        <v>17.426474405247824</v>
      </c>
      <c r="D584" s="9">
        <f t="shared" ca="1" si="56"/>
        <v>0.98936136000378849</v>
      </c>
      <c r="E584" s="10">
        <f t="shared" ca="1" si="57"/>
        <v>11.181321601749914</v>
      </c>
      <c r="F584" s="9">
        <f t="shared" ca="1" si="58"/>
        <v>0.26734352241638504</v>
      </c>
      <c r="G584" s="10">
        <f t="shared" ca="1" si="59"/>
        <v>2.287546206231982</v>
      </c>
    </row>
    <row r="585" spans="1:7">
      <c r="A585" s="8">
        <v>580</v>
      </c>
      <c r="B585" s="13">
        <f t="shared" ca="1" si="54"/>
        <v>0.9035587835458051</v>
      </c>
      <c r="C585" s="14">
        <f t="shared" ca="1" si="55"/>
        <v>35.082324182446818</v>
      </c>
      <c r="D585" s="13">
        <f t="shared" ca="1" si="56"/>
        <v>0.29890572209927957</v>
      </c>
      <c r="E585" s="14">
        <f t="shared" ca="1" si="57"/>
        <v>5.3540283247861051</v>
      </c>
      <c r="F585" s="13">
        <f t="shared" ca="1" si="58"/>
        <v>0.90857050481237478</v>
      </c>
      <c r="G585" s="10">
        <f t="shared" ca="1" si="59"/>
        <v>7.3831633700567965</v>
      </c>
    </row>
    <row r="586" spans="1:7">
      <c r="A586" s="8">
        <v>581</v>
      </c>
      <c r="B586" s="9">
        <f t="shared" ca="1" si="54"/>
        <v>0.97724193165630813</v>
      </c>
      <c r="C586" s="10">
        <f t="shared" ca="1" si="55"/>
        <v>56.742533159842907</v>
      </c>
      <c r="D586" s="9">
        <f t="shared" ca="1" si="56"/>
        <v>0.86901106479328083</v>
      </c>
      <c r="E586" s="10">
        <f t="shared" ca="1" si="57"/>
        <v>9.127317818131754</v>
      </c>
      <c r="F586" s="9">
        <f t="shared" ca="1" si="58"/>
        <v>7.8074407949697222E-2</v>
      </c>
      <c r="G586" s="10">
        <f t="shared" ca="1" si="59"/>
        <v>1.4178105022113132</v>
      </c>
    </row>
    <row r="587" spans="1:7">
      <c r="A587" s="8">
        <v>582</v>
      </c>
      <c r="B587" s="13">
        <f t="shared" ca="1" si="54"/>
        <v>0.36011873873293176</v>
      </c>
      <c r="C587" s="14">
        <f t="shared" ca="1" si="55"/>
        <v>6.6970897366696418</v>
      </c>
      <c r="D587" s="13">
        <f t="shared" ca="1" si="56"/>
        <v>0.30165248101914122</v>
      </c>
      <c r="E587" s="14">
        <f t="shared" ca="1" si="57"/>
        <v>5.3670599508367252</v>
      </c>
      <c r="F587" s="13">
        <f t="shared" ca="1" si="58"/>
        <v>0.74296889719881798</v>
      </c>
      <c r="G587" s="10">
        <f t="shared" ca="1" si="59"/>
        <v>4.9111853150153371</v>
      </c>
    </row>
    <row r="588" spans="1:7">
      <c r="A588" s="8">
        <v>583</v>
      </c>
      <c r="B588" s="9">
        <f t="shared" ca="1" si="54"/>
        <v>0.76375301931347828</v>
      </c>
      <c r="C588" s="10">
        <f t="shared" ca="1" si="55"/>
        <v>21.643162392792345</v>
      </c>
      <c r="D588" s="9">
        <f t="shared" ca="1" si="56"/>
        <v>0.19310771737763621</v>
      </c>
      <c r="E588" s="10">
        <f t="shared" ca="1" si="57"/>
        <v>4.8643870072486166</v>
      </c>
      <c r="F588" s="9">
        <f t="shared" ca="1" si="58"/>
        <v>9.333470051268633E-2</v>
      </c>
      <c r="G588" s="10">
        <f t="shared" ca="1" si="59"/>
        <v>1.5033595065255305</v>
      </c>
    </row>
    <row r="589" spans="1:7">
      <c r="A589" s="8">
        <v>584</v>
      </c>
      <c r="B589" s="13">
        <f t="shared" ca="1" si="54"/>
        <v>0.49140532169581097</v>
      </c>
      <c r="C589" s="14">
        <f t="shared" ca="1" si="55"/>
        <v>10.141558342044663</v>
      </c>
      <c r="D589" s="13">
        <f t="shared" ca="1" si="56"/>
        <v>9.2604461074621947E-2</v>
      </c>
      <c r="E589" s="14">
        <f t="shared" ca="1" si="57"/>
        <v>4.2910771856644336</v>
      </c>
      <c r="F589" s="13">
        <f t="shared" ca="1" si="58"/>
        <v>2.1538991535716923E-2</v>
      </c>
      <c r="G589" s="10">
        <f t="shared" ca="1" si="59"/>
        <v>0.98632253784148449</v>
      </c>
    </row>
    <row r="590" spans="1:7">
      <c r="A590" s="8">
        <v>585</v>
      </c>
      <c r="B590" s="9">
        <f t="shared" ca="1" si="54"/>
        <v>0.71545199215828958</v>
      </c>
      <c r="C590" s="10">
        <f t="shared" ca="1" si="55"/>
        <v>18.852799425614105</v>
      </c>
      <c r="D590" s="9">
        <f t="shared" ca="1" si="56"/>
        <v>0.78301433287053102</v>
      </c>
      <c r="E590" s="10">
        <f t="shared" ca="1" si="57"/>
        <v>8.3026905689195356</v>
      </c>
      <c r="F590" s="9">
        <f t="shared" ca="1" si="58"/>
        <v>0.77109853327792255</v>
      </c>
      <c r="G590" s="10">
        <f t="shared" ca="1" si="59"/>
        <v>5.183506154631524</v>
      </c>
    </row>
    <row r="591" spans="1:7">
      <c r="A591" s="8">
        <v>586</v>
      </c>
      <c r="B591" s="13">
        <f t="shared" ca="1" si="54"/>
        <v>0.43617712027299083</v>
      </c>
      <c r="C591" s="14">
        <f t="shared" ca="1" si="55"/>
        <v>8.5952267976470544</v>
      </c>
      <c r="D591" s="13">
        <f t="shared" ca="1" si="56"/>
        <v>0.76016052621608243</v>
      </c>
      <c r="E591" s="14">
        <f t="shared" ca="1" si="57"/>
        <v>8.1128562094531667</v>
      </c>
      <c r="F591" s="13">
        <f t="shared" ca="1" si="58"/>
        <v>0.58732092064330088</v>
      </c>
      <c r="G591" s="10">
        <f t="shared" ca="1" si="59"/>
        <v>3.7901107684974868</v>
      </c>
    </row>
    <row r="592" spans="1:7">
      <c r="A592" s="8">
        <v>587</v>
      </c>
      <c r="B592" s="9">
        <f t="shared" ca="1" si="54"/>
        <v>0.61228384122389634</v>
      </c>
      <c r="C592" s="10">
        <f t="shared" ca="1" si="55"/>
        <v>14.212226349268933</v>
      </c>
      <c r="D592" s="9">
        <f t="shared" ca="1" si="56"/>
        <v>0.76710468253214281</v>
      </c>
      <c r="E592" s="10">
        <f t="shared" ca="1" si="57"/>
        <v>8.169542455466317</v>
      </c>
      <c r="F592" s="9">
        <f t="shared" ca="1" si="58"/>
        <v>0.73908819690759431</v>
      </c>
      <c r="G592" s="10">
        <f t="shared" ca="1" si="59"/>
        <v>4.8759850287576612</v>
      </c>
    </row>
    <row r="593" spans="1:7">
      <c r="A593" s="8">
        <v>588</v>
      </c>
      <c r="B593" s="13">
        <f t="shared" ca="1" si="54"/>
        <v>0.43434774908797902</v>
      </c>
      <c r="C593" s="14">
        <f t="shared" ca="1" si="55"/>
        <v>8.5466368092074383</v>
      </c>
      <c r="D593" s="13">
        <f t="shared" ca="1" si="56"/>
        <v>0.10395229989159516</v>
      </c>
      <c r="E593" s="14">
        <f t="shared" ca="1" si="57"/>
        <v>4.3678967059133935</v>
      </c>
      <c r="F593" s="13">
        <f t="shared" ca="1" si="58"/>
        <v>0.12606275405993594</v>
      </c>
      <c r="G593" s="10">
        <f t="shared" ca="1" si="59"/>
        <v>1.6700921860598703</v>
      </c>
    </row>
    <row r="594" spans="1:7">
      <c r="A594" s="8">
        <v>589</v>
      </c>
      <c r="B594" s="9">
        <f t="shared" ca="1" si="54"/>
        <v>0.32833456892233681</v>
      </c>
      <c r="C594" s="10">
        <f t="shared" ca="1" si="55"/>
        <v>5.9699239928664163</v>
      </c>
      <c r="D594" s="9">
        <f t="shared" ca="1" si="56"/>
        <v>0.30104828868734745</v>
      </c>
      <c r="E594" s="10">
        <f t="shared" ca="1" si="57"/>
        <v>5.3641912465248733</v>
      </c>
      <c r="F594" s="9">
        <f t="shared" ca="1" si="58"/>
        <v>0.50842235513930312</v>
      </c>
      <c r="G594" s="10">
        <f t="shared" ca="1" si="59"/>
        <v>3.3624435921684976</v>
      </c>
    </row>
    <row r="595" spans="1:7">
      <c r="A595" s="8">
        <v>590</v>
      </c>
      <c r="B595" s="13">
        <f t="shared" ca="1" si="54"/>
        <v>0.42448992262972518</v>
      </c>
      <c r="C595" s="14">
        <f t="shared" ca="1" si="55"/>
        <v>8.2874781050820054</v>
      </c>
      <c r="D595" s="13">
        <f t="shared" ca="1" si="56"/>
        <v>0.23713691320716712</v>
      </c>
      <c r="E595" s="14">
        <f t="shared" ca="1" si="57"/>
        <v>5.0674409870561892</v>
      </c>
      <c r="F595" s="13">
        <f t="shared" ca="1" si="58"/>
        <v>0.81556723291230759</v>
      </c>
      <c r="G595" s="10">
        <f t="shared" ca="1" si="59"/>
        <v>5.6925611030068906</v>
      </c>
    </row>
    <row r="596" spans="1:7">
      <c r="A596" s="8">
        <v>591</v>
      </c>
      <c r="B596" s="9">
        <f t="shared" ca="1" si="54"/>
        <v>0.61195369004186817</v>
      </c>
      <c r="C596" s="10">
        <f t="shared" ca="1" si="55"/>
        <v>14.199458863784649</v>
      </c>
      <c r="D596" s="9">
        <f t="shared" ca="1" si="56"/>
        <v>0.18549221460120591</v>
      </c>
      <c r="E596" s="10">
        <f t="shared" ca="1" si="57"/>
        <v>4.827254733971623</v>
      </c>
      <c r="F596" s="9">
        <f t="shared" ca="1" si="58"/>
        <v>0.96340110283810199</v>
      </c>
      <c r="G596" s="10">
        <f t="shared" ca="1" si="59"/>
        <v>9.7275032814050597</v>
      </c>
    </row>
    <row r="597" spans="1:7">
      <c r="A597" s="8">
        <v>592</v>
      </c>
      <c r="B597" s="13">
        <f t="shared" ca="1" si="54"/>
        <v>4.5180156073260758E-2</v>
      </c>
      <c r="C597" s="14">
        <f t="shared" ca="1" si="55"/>
        <v>0.69348902100034737</v>
      </c>
      <c r="D597" s="13">
        <f t="shared" ca="1" si="56"/>
        <v>0.51053813788730107</v>
      </c>
      <c r="E597" s="14">
        <f t="shared" ca="1" si="57"/>
        <v>6.4469740399400228</v>
      </c>
      <c r="F597" s="13">
        <f t="shared" ca="1" si="58"/>
        <v>0.80959986863318478</v>
      </c>
      <c r="G597" s="10">
        <f t="shared" ca="1" si="59"/>
        <v>5.6173141566636486</v>
      </c>
    </row>
    <row r="598" spans="1:7">
      <c r="A598" s="8">
        <v>593</v>
      </c>
      <c r="B598" s="9">
        <f t="shared" ca="1" si="54"/>
        <v>0.50602582195250823</v>
      </c>
      <c r="C598" s="10">
        <f t="shared" ca="1" si="55"/>
        <v>10.57908051478984</v>
      </c>
      <c r="D598" s="9">
        <f t="shared" ca="1" si="56"/>
        <v>0.2074654707387007</v>
      </c>
      <c r="E598" s="10">
        <f t="shared" ca="1" si="57"/>
        <v>4.9324540028928539</v>
      </c>
      <c r="F598" s="9">
        <f t="shared" ca="1" si="58"/>
        <v>0.87838287247239122</v>
      </c>
      <c r="G598" s="10">
        <f t="shared" ca="1" si="59"/>
        <v>6.686994453725907</v>
      </c>
    </row>
    <row r="599" spans="1:7">
      <c r="A599" s="8">
        <v>594</v>
      </c>
      <c r="B599" s="13">
        <f t="shared" ca="1" si="54"/>
        <v>5.9621076622822455E-2</v>
      </c>
      <c r="C599" s="14">
        <f t="shared" ca="1" si="55"/>
        <v>0.92208562454047094</v>
      </c>
      <c r="D599" s="13">
        <f t="shared" ca="1" si="56"/>
        <v>0.34828697968403499</v>
      </c>
      <c r="E599" s="14">
        <f t="shared" ca="1" si="57"/>
        <v>5.5923545447718634</v>
      </c>
      <c r="F599" s="13">
        <f t="shared" ca="1" si="58"/>
        <v>0.16818954168111089</v>
      </c>
      <c r="G599" s="10">
        <f t="shared" ca="1" si="59"/>
        <v>1.8648738748222187</v>
      </c>
    </row>
    <row r="600" spans="1:7">
      <c r="A600" s="8">
        <v>595</v>
      </c>
      <c r="B600" s="9">
        <f t="shared" ca="1" si="54"/>
        <v>0.29079607587514933</v>
      </c>
      <c r="C600" s="10">
        <f t="shared" ca="1" si="55"/>
        <v>5.1541825743963594</v>
      </c>
      <c r="D600" s="9">
        <f t="shared" ca="1" si="56"/>
        <v>0.49234303044986005</v>
      </c>
      <c r="E600" s="10">
        <f t="shared" ca="1" si="57"/>
        <v>6.3447025647045923</v>
      </c>
      <c r="F600" s="9">
        <f t="shared" ca="1" si="58"/>
        <v>0.14495512875893946</v>
      </c>
      <c r="G600" s="10">
        <f t="shared" ca="1" si="59"/>
        <v>1.7594634326696486</v>
      </c>
    </row>
    <row r="601" spans="1:7">
      <c r="A601" s="8">
        <v>596</v>
      </c>
      <c r="B601" s="13">
        <f t="shared" ca="1" si="54"/>
        <v>0.1510211689989257</v>
      </c>
      <c r="C601" s="14">
        <f t="shared" ca="1" si="55"/>
        <v>2.4558154053064469</v>
      </c>
      <c r="D601" s="13">
        <f t="shared" ca="1" si="56"/>
        <v>3.6786219659521779E-2</v>
      </c>
      <c r="E601" s="14">
        <f t="shared" ca="1" si="57"/>
        <v>3.8137271986798722</v>
      </c>
      <c r="F601" s="13">
        <f t="shared" ca="1" si="58"/>
        <v>2.7615924387031976E-2</v>
      </c>
      <c r="G601" s="10">
        <f t="shared" ca="1" si="59"/>
        <v>1.0510306668859597</v>
      </c>
    </row>
    <row r="602" spans="1:7">
      <c r="A602" s="8">
        <v>597</v>
      </c>
      <c r="B602" s="9">
        <f t="shared" ca="1" si="54"/>
        <v>0.55153754585202319</v>
      </c>
      <c r="C602" s="10">
        <f t="shared" ca="1" si="55"/>
        <v>12.028954728927314</v>
      </c>
      <c r="D602" s="9">
        <f t="shared" ca="1" si="56"/>
        <v>9.9057424128448091E-2</v>
      </c>
      <c r="E602" s="10">
        <f t="shared" ca="1" si="57"/>
        <v>4.3353028249472345</v>
      </c>
      <c r="F602" s="9">
        <f t="shared" ca="1" si="58"/>
        <v>0.37054339932688218</v>
      </c>
      <c r="G602" s="10">
        <f t="shared" ca="1" si="59"/>
        <v>2.7230465520799099</v>
      </c>
    </row>
    <row r="603" spans="1:7">
      <c r="A603" s="8">
        <v>598</v>
      </c>
      <c r="B603" s="13">
        <f t="shared" ca="1" si="54"/>
        <v>0.65217711478015949</v>
      </c>
      <c r="C603" s="14">
        <f t="shared" ca="1" si="55"/>
        <v>15.840928189269579</v>
      </c>
      <c r="D603" s="13">
        <f t="shared" ca="1" si="56"/>
        <v>5.4270911372537922E-2</v>
      </c>
      <c r="E603" s="14">
        <f t="shared" ca="1" si="57"/>
        <v>3.9883705806556984</v>
      </c>
      <c r="F603" s="13">
        <f t="shared" ca="1" si="58"/>
        <v>0.85476698932119621</v>
      </c>
      <c r="G603" s="10">
        <f t="shared" ca="1" si="59"/>
        <v>6.2604990838309309</v>
      </c>
    </row>
    <row r="604" spans="1:7">
      <c r="A604" s="8">
        <v>599</v>
      </c>
      <c r="B604" s="9">
        <f t="shared" ca="1" si="54"/>
        <v>0.89322108280734236</v>
      </c>
      <c r="C604" s="10">
        <f t="shared" ca="1" si="55"/>
        <v>33.554921647590284</v>
      </c>
      <c r="D604" s="9">
        <f t="shared" ca="1" si="56"/>
        <v>0.45968303791729093</v>
      </c>
      <c r="E604" s="10">
        <f t="shared" ca="1" si="57"/>
        <v>6.1656218316592923</v>
      </c>
      <c r="F604" s="9">
        <f t="shared" ca="1" si="58"/>
        <v>0.22418235789855512</v>
      </c>
      <c r="G604" s="10">
        <f t="shared" ca="1" si="59"/>
        <v>2.10668060173969</v>
      </c>
    </row>
    <row r="605" spans="1:7">
      <c r="A605" s="8">
        <v>600</v>
      </c>
      <c r="B605" s="13">
        <f t="shared" ca="1" si="54"/>
        <v>0.14674866401180209</v>
      </c>
      <c r="C605" s="14">
        <f t="shared" ca="1" si="55"/>
        <v>2.3805168814870554</v>
      </c>
      <c r="D605" s="13">
        <f t="shared" ca="1" si="56"/>
        <v>0.19397510468863133</v>
      </c>
      <c r="E605" s="14">
        <f t="shared" ca="1" si="57"/>
        <v>4.8685694753996609</v>
      </c>
      <c r="F605" s="13">
        <f t="shared" ca="1" si="58"/>
        <v>4.3596466715529192E-2</v>
      </c>
      <c r="G605" s="10">
        <f t="shared" ca="1" si="59"/>
        <v>1.1897738590630613</v>
      </c>
    </row>
    <row r="606" spans="1:7">
      <c r="A606" s="8">
        <v>601</v>
      </c>
      <c r="B606" s="9">
        <f t="shared" ca="1" si="54"/>
        <v>0.55817914925774925</v>
      </c>
      <c r="C606" s="10">
        <f t="shared" ca="1" si="55"/>
        <v>12.25276191194358</v>
      </c>
      <c r="D606" s="9">
        <f t="shared" ca="1" si="56"/>
        <v>0.66755168059076331</v>
      </c>
      <c r="E606" s="10">
        <f t="shared" ca="1" si="57"/>
        <v>7.4235118133243354</v>
      </c>
      <c r="F606" s="9">
        <f t="shared" ca="1" si="58"/>
        <v>0.22558527575325427</v>
      </c>
      <c r="G606" s="10">
        <f t="shared" ca="1" si="59"/>
        <v>2.1126033786183864</v>
      </c>
    </row>
    <row r="607" spans="1:7">
      <c r="A607" s="8">
        <v>602</v>
      </c>
      <c r="B607" s="13">
        <f t="shared" ca="1" si="54"/>
        <v>0.92706895307984671</v>
      </c>
      <c r="C607" s="14">
        <f t="shared" ca="1" si="55"/>
        <v>39.273612704278001</v>
      </c>
      <c r="D607" s="13">
        <f t="shared" ca="1" si="56"/>
        <v>0.4189014065861425</v>
      </c>
      <c r="E607" s="14">
        <f t="shared" ca="1" si="57"/>
        <v>5.9494453654997033</v>
      </c>
      <c r="F607" s="13">
        <f t="shared" ca="1" si="58"/>
        <v>0.58707192119930318</v>
      </c>
      <c r="G607" s="10">
        <f t="shared" ca="1" si="59"/>
        <v>3.7886568150624567</v>
      </c>
    </row>
    <row r="608" spans="1:7">
      <c r="A608" s="8">
        <v>603</v>
      </c>
      <c r="B608" s="9">
        <f t="shared" ca="1" si="54"/>
        <v>0.89173601717294448</v>
      </c>
      <c r="C608" s="10">
        <f t="shared" ca="1" si="55"/>
        <v>33.347741232434252</v>
      </c>
      <c r="D608" s="9">
        <f t="shared" ca="1" si="56"/>
        <v>0.33667312941228367</v>
      </c>
      <c r="E608" s="10">
        <f t="shared" ca="1" si="57"/>
        <v>5.5355129478800773</v>
      </c>
      <c r="F608" s="9">
        <f t="shared" ca="1" si="58"/>
        <v>0.81654557875424238</v>
      </c>
      <c r="G608" s="10">
        <f t="shared" ca="1" si="59"/>
        <v>5.7051382394766499</v>
      </c>
    </row>
    <row r="609" spans="1:7">
      <c r="A609" s="8">
        <v>604</v>
      </c>
      <c r="B609" s="13">
        <f t="shared" ca="1" si="54"/>
        <v>0.51858497362772404</v>
      </c>
      <c r="C609" s="14">
        <f t="shared" ca="1" si="55"/>
        <v>10.965383103279214</v>
      </c>
      <c r="D609" s="13">
        <f t="shared" ca="1" si="56"/>
        <v>0.26313673577074492</v>
      </c>
      <c r="E609" s="14">
        <f t="shared" ca="1" si="57"/>
        <v>5.1866024887400659</v>
      </c>
      <c r="F609" s="13">
        <f t="shared" ca="1" si="58"/>
        <v>0.87332211804049598</v>
      </c>
      <c r="G609" s="10">
        <f t="shared" ca="1" si="59"/>
        <v>6.5886063595263691</v>
      </c>
    </row>
    <row r="610" spans="1:7">
      <c r="A610" s="8">
        <v>605</v>
      </c>
      <c r="B610" s="9">
        <f t="shared" ca="1" si="54"/>
        <v>0.31301199591707463</v>
      </c>
      <c r="C610" s="10">
        <f t="shared" ca="1" si="55"/>
        <v>5.6315767232703537</v>
      </c>
      <c r="D610" s="9">
        <f t="shared" ca="1" si="56"/>
        <v>0.28538490460092136</v>
      </c>
      <c r="E610" s="10">
        <f t="shared" ca="1" si="57"/>
        <v>5.290249556791105</v>
      </c>
      <c r="F610" s="9">
        <f t="shared" ca="1" si="58"/>
        <v>0.60722343880674479</v>
      </c>
      <c r="G610" s="10">
        <f t="shared" ca="1" si="59"/>
        <v>3.9088912374908031</v>
      </c>
    </row>
    <row r="611" spans="1:7">
      <c r="A611" s="8">
        <v>606</v>
      </c>
      <c r="B611" s="13">
        <f t="shared" ca="1" si="54"/>
        <v>0.82435695649896057</v>
      </c>
      <c r="C611" s="14">
        <f t="shared" ca="1" si="55"/>
        <v>26.089522580631623</v>
      </c>
      <c r="D611" s="13">
        <f t="shared" ca="1" si="56"/>
        <v>0.79907503119027634</v>
      </c>
      <c r="E611" s="14">
        <f t="shared" ca="1" si="57"/>
        <v>8.4421533148528454</v>
      </c>
      <c r="F611" s="13">
        <f t="shared" ca="1" si="58"/>
        <v>0.90756596406680712</v>
      </c>
      <c r="G611" s="10">
        <f t="shared" ca="1" si="59"/>
        <v>7.3562375911908076</v>
      </c>
    </row>
    <row r="612" spans="1:7">
      <c r="A612" s="8">
        <v>607</v>
      </c>
      <c r="B612" s="9">
        <f t="shared" ca="1" si="54"/>
        <v>8.3741009425077007E-2</v>
      </c>
      <c r="C612" s="10">
        <f t="shared" ca="1" si="55"/>
        <v>1.3118432020400554</v>
      </c>
      <c r="D612" s="9">
        <f t="shared" ca="1" si="56"/>
        <v>0.45056600804888447</v>
      </c>
      <c r="E612" s="10">
        <f t="shared" ca="1" si="57"/>
        <v>6.1166045948856818</v>
      </c>
      <c r="F612" s="9">
        <f t="shared" ca="1" si="58"/>
        <v>0.8064780054693913</v>
      </c>
      <c r="G612" s="10">
        <f t="shared" ca="1" si="59"/>
        <v>5.5789150123706772</v>
      </c>
    </row>
    <row r="613" spans="1:7">
      <c r="A613" s="8">
        <v>608</v>
      </c>
      <c r="B613" s="13">
        <f t="shared" ca="1" si="54"/>
        <v>0.13478374243737312</v>
      </c>
      <c r="C613" s="14">
        <f t="shared" ca="1" si="55"/>
        <v>2.1716369183147153</v>
      </c>
      <c r="D613" s="13">
        <f t="shared" ca="1" si="56"/>
        <v>1.5043845127355127E-2</v>
      </c>
      <c r="E613" s="14">
        <f t="shared" ca="1" si="57"/>
        <v>3.5203741080149857</v>
      </c>
      <c r="F613" s="13">
        <f t="shared" ca="1" si="58"/>
        <v>0.72227426896422942</v>
      </c>
      <c r="G613" s="10">
        <f t="shared" ca="1" si="59"/>
        <v>4.729249925618463</v>
      </c>
    </row>
    <row r="614" spans="1:7">
      <c r="A614" s="8">
        <v>609</v>
      </c>
      <c r="B614" s="9">
        <f t="shared" ca="1" si="54"/>
        <v>0.58398132527433366</v>
      </c>
      <c r="C614" s="10">
        <f t="shared" ca="1" si="55"/>
        <v>13.155376928414773</v>
      </c>
      <c r="D614" s="9">
        <f t="shared" ca="1" si="56"/>
        <v>0.21793726127131585</v>
      </c>
      <c r="E614" s="10">
        <f t="shared" ca="1" si="57"/>
        <v>4.9806238166001346</v>
      </c>
      <c r="F614" s="9">
        <f t="shared" ca="1" si="58"/>
        <v>0.94814800882705019</v>
      </c>
      <c r="G614" s="10">
        <f t="shared" ca="1" si="59"/>
        <v>8.8135786887546814</v>
      </c>
    </row>
    <row r="615" spans="1:7">
      <c r="A615" s="8">
        <v>610</v>
      </c>
      <c r="B615" s="13">
        <f t="shared" ca="1" si="54"/>
        <v>4.3655635289690298E-2</v>
      </c>
      <c r="C615" s="14">
        <f t="shared" ca="1" si="55"/>
        <v>0.66955824990221369</v>
      </c>
      <c r="D615" s="13">
        <f t="shared" ca="1" si="56"/>
        <v>0.48019114752525949</v>
      </c>
      <c r="E615" s="14">
        <f t="shared" ca="1" si="57"/>
        <v>6.2774168677153623</v>
      </c>
      <c r="F615" s="13">
        <f t="shared" ca="1" si="58"/>
        <v>0.63565336454646104</v>
      </c>
      <c r="G615" s="10">
        <f t="shared" ca="1" si="59"/>
        <v>4.0882564267053265</v>
      </c>
    </row>
    <row r="616" spans="1:7">
      <c r="A616" s="8">
        <v>611</v>
      </c>
      <c r="B616" s="9">
        <f t="shared" ca="1" si="54"/>
        <v>0.61369606889921102</v>
      </c>
      <c r="C616" s="10">
        <f t="shared" ca="1" si="55"/>
        <v>14.266962496076669</v>
      </c>
      <c r="D616" s="9">
        <f t="shared" ca="1" si="56"/>
        <v>0.48076048099624968</v>
      </c>
      <c r="E616" s="10">
        <f t="shared" ca="1" si="57"/>
        <v>6.2805516264908672</v>
      </c>
      <c r="F616" s="9">
        <f t="shared" ca="1" si="58"/>
        <v>0.49960867072469362</v>
      </c>
      <c r="G616" s="10">
        <f t="shared" ca="1" si="59"/>
        <v>3.3181634418094341</v>
      </c>
    </row>
    <row r="617" spans="1:7">
      <c r="A617" s="8">
        <v>612</v>
      </c>
      <c r="B617" s="13">
        <f t="shared" ca="1" si="54"/>
        <v>6.6514041037779803E-2</v>
      </c>
      <c r="C617" s="14">
        <f t="shared" ca="1" si="55"/>
        <v>1.0324403609488102</v>
      </c>
      <c r="D617" s="13">
        <f t="shared" ca="1" si="56"/>
        <v>0.55855792249744396</v>
      </c>
      <c r="E617" s="14">
        <f t="shared" ca="1" si="57"/>
        <v>6.7264005762040453</v>
      </c>
      <c r="F617" s="13">
        <f t="shared" ca="1" si="58"/>
        <v>0.65445846502360239</v>
      </c>
      <c r="G617" s="10">
        <f t="shared" ca="1" si="59"/>
        <v>4.2140804699910612</v>
      </c>
    </row>
    <row r="618" spans="1:7">
      <c r="A618" s="8">
        <v>613</v>
      </c>
      <c r="B618" s="9">
        <f t="shared" ca="1" si="54"/>
        <v>0.70486153021569342</v>
      </c>
      <c r="C618" s="10">
        <f t="shared" ca="1" si="55"/>
        <v>18.304659655073632</v>
      </c>
      <c r="D618" s="9">
        <f t="shared" ca="1" si="56"/>
        <v>0.27757115428697121</v>
      </c>
      <c r="E618" s="10">
        <f t="shared" ca="1" si="57"/>
        <v>5.2536663824028969</v>
      </c>
      <c r="F618" s="9">
        <f t="shared" ca="1" si="58"/>
        <v>7.2601525299514025E-2</v>
      </c>
      <c r="G618" s="10">
        <f t="shared" ca="1" si="59"/>
        <v>1.3853992215211697</v>
      </c>
    </row>
    <row r="619" spans="1:7">
      <c r="A619" s="8">
        <v>614</v>
      </c>
      <c r="B619" s="13">
        <f t="shared" ca="1" si="54"/>
        <v>0.3017766806075034</v>
      </c>
      <c r="C619" s="14">
        <f t="shared" ca="1" si="55"/>
        <v>5.3882442835076185</v>
      </c>
      <c r="D619" s="13">
        <f t="shared" ca="1" si="56"/>
        <v>0.71684052526421371</v>
      </c>
      <c r="E619" s="14">
        <f t="shared" ca="1" si="57"/>
        <v>7.7763704106119178</v>
      </c>
      <c r="F619" s="13">
        <f t="shared" ca="1" si="58"/>
        <v>0.24509137217911958</v>
      </c>
      <c r="G619" s="10">
        <f t="shared" ca="1" si="59"/>
        <v>2.1945764840482802</v>
      </c>
    </row>
    <row r="620" spans="1:7">
      <c r="A620" s="8">
        <v>615</v>
      </c>
      <c r="B620" s="9">
        <f t="shared" ca="1" si="54"/>
        <v>9.8192796603517096E-2</v>
      </c>
      <c r="C620" s="10">
        <f t="shared" ca="1" si="55"/>
        <v>1.5503178784317329</v>
      </c>
      <c r="D620" s="9">
        <f t="shared" ca="1" si="56"/>
        <v>0.76039790551577091</v>
      </c>
      <c r="E620" s="10">
        <f t="shared" ca="1" si="57"/>
        <v>8.1147803212036482</v>
      </c>
      <c r="F620" s="9">
        <f t="shared" ca="1" si="58"/>
        <v>0.65279902780327848</v>
      </c>
      <c r="G620" s="10">
        <f t="shared" ca="1" si="59"/>
        <v>4.2027245262073043</v>
      </c>
    </row>
    <row r="621" spans="1:7">
      <c r="A621" s="8">
        <v>616</v>
      </c>
      <c r="B621" s="13">
        <f t="shared" ca="1" si="54"/>
        <v>0.98277597825067764</v>
      </c>
      <c r="C621" s="14">
        <f t="shared" ca="1" si="55"/>
        <v>60.921753842810105</v>
      </c>
      <c r="D621" s="13">
        <f t="shared" ca="1" si="56"/>
        <v>0.13964278491111315</v>
      </c>
      <c r="E621" s="14">
        <f t="shared" ca="1" si="57"/>
        <v>4.5854242739405873</v>
      </c>
      <c r="F621" s="13">
        <f t="shared" ca="1" si="58"/>
        <v>0.50225103586822961</v>
      </c>
      <c r="G621" s="10">
        <f t="shared" ca="1" si="59"/>
        <v>3.331376307156181</v>
      </c>
    </row>
    <row r="622" spans="1:7">
      <c r="A622" s="8">
        <v>617</v>
      </c>
      <c r="B622" s="9">
        <f t="shared" ca="1" si="54"/>
        <v>0.48077876489099491</v>
      </c>
      <c r="C622" s="10">
        <f t="shared" ca="1" si="55"/>
        <v>9.831378221369528</v>
      </c>
      <c r="D622" s="9">
        <f t="shared" ca="1" si="56"/>
        <v>0.32081720194791763</v>
      </c>
      <c r="E622" s="10">
        <f t="shared" ca="1" si="57"/>
        <v>5.4587068344798064</v>
      </c>
      <c r="F622" s="9">
        <f t="shared" ca="1" si="58"/>
        <v>0.6670728193672204</v>
      </c>
      <c r="G622" s="10">
        <f t="shared" ca="1" si="59"/>
        <v>4.3021149920590531</v>
      </c>
    </row>
    <row r="623" spans="1:7">
      <c r="A623" s="8">
        <v>618</v>
      </c>
      <c r="B623" s="13">
        <f t="shared" ca="1" si="54"/>
        <v>0.82656592036597198</v>
      </c>
      <c r="C623" s="14">
        <f t="shared" ca="1" si="55"/>
        <v>26.279365443973095</v>
      </c>
      <c r="D623" s="13">
        <f t="shared" ca="1" si="56"/>
        <v>0.88046480846225628</v>
      </c>
      <c r="E623" s="14">
        <f t="shared" ca="1" si="57"/>
        <v>9.2557847994594411</v>
      </c>
      <c r="F623" s="13">
        <f t="shared" ca="1" si="58"/>
        <v>1.443340979330543E-2</v>
      </c>
      <c r="G623" s="10">
        <f t="shared" ca="1" si="59"/>
        <v>0.89477739737567408</v>
      </c>
    </row>
    <row r="624" spans="1:7">
      <c r="A624" s="8">
        <v>619</v>
      </c>
      <c r="B624" s="9">
        <f t="shared" ca="1" si="54"/>
        <v>0.34729993342886101</v>
      </c>
      <c r="C624" s="10">
        <f t="shared" ca="1" si="55"/>
        <v>6.3995635702124822</v>
      </c>
      <c r="D624" s="9">
        <f t="shared" ca="1" si="56"/>
        <v>0.69767980852591616</v>
      </c>
      <c r="E624" s="10">
        <f t="shared" ca="1" si="57"/>
        <v>7.6358079713574378</v>
      </c>
      <c r="F624" s="9">
        <f t="shared" ca="1" si="58"/>
        <v>0.14179720613694391</v>
      </c>
      <c r="G624" s="10">
        <f t="shared" ca="1" si="59"/>
        <v>1.7447864452649036</v>
      </c>
    </row>
    <row r="625" spans="1:7">
      <c r="A625" s="8">
        <v>620</v>
      </c>
      <c r="B625" s="13">
        <f t="shared" ca="1" si="54"/>
        <v>0.30186327622259157</v>
      </c>
      <c r="C625" s="14">
        <f t="shared" ca="1" si="55"/>
        <v>5.3901047409653362</v>
      </c>
      <c r="D625" s="13">
        <f t="shared" ca="1" si="56"/>
        <v>0.98799934215837693</v>
      </c>
      <c r="E625" s="14">
        <f t="shared" ca="1" si="57"/>
        <v>11.130493562978252</v>
      </c>
      <c r="F625" s="13">
        <f t="shared" ca="1" si="58"/>
        <v>0.71900324523548254</v>
      </c>
      <c r="G625" s="10">
        <f t="shared" ca="1" si="59"/>
        <v>4.7017266323254319</v>
      </c>
    </row>
    <row r="626" spans="1:7">
      <c r="A626" s="8">
        <v>621</v>
      </c>
      <c r="B626" s="9">
        <f t="shared" ca="1" si="54"/>
        <v>0.26026619741868762</v>
      </c>
      <c r="C626" s="10">
        <f t="shared" ca="1" si="55"/>
        <v>4.5219732561359471</v>
      </c>
      <c r="D626" s="9">
        <f t="shared" ca="1" si="56"/>
        <v>0.30332186146377915</v>
      </c>
      <c r="E626" s="10">
        <f t="shared" ca="1" si="57"/>
        <v>5.3749926243224522</v>
      </c>
      <c r="F626" s="9">
        <f t="shared" ca="1" si="58"/>
        <v>0.56806705935780366</v>
      </c>
      <c r="G626" s="10">
        <f t="shared" ca="1" si="59"/>
        <v>3.6798540797834622</v>
      </c>
    </row>
    <row r="627" spans="1:7">
      <c r="A627" s="8">
        <v>622</v>
      </c>
      <c r="B627" s="13">
        <f t="shared" ca="1" si="54"/>
        <v>0.63337394746461406</v>
      </c>
      <c r="C627" s="14">
        <f t="shared" ca="1" si="55"/>
        <v>15.051193212170315</v>
      </c>
      <c r="D627" s="13">
        <f t="shared" ca="1" si="56"/>
        <v>0.86068063310293685</v>
      </c>
      <c r="E627" s="14">
        <f t="shared" ca="1" si="57"/>
        <v>9.0373795189874588</v>
      </c>
      <c r="F627" s="13">
        <f t="shared" ca="1" si="58"/>
        <v>0.18708638819681267</v>
      </c>
      <c r="G627" s="10">
        <f t="shared" ca="1" si="59"/>
        <v>1.9479731580927615</v>
      </c>
    </row>
    <row r="628" spans="1:7">
      <c r="A628" s="8">
        <v>623</v>
      </c>
      <c r="B628" s="9">
        <f t="shared" ca="1" si="54"/>
        <v>0.7459422579246604</v>
      </c>
      <c r="C628" s="10">
        <f t="shared" ca="1" si="55"/>
        <v>20.552905601911558</v>
      </c>
      <c r="D628" s="9">
        <f t="shared" ca="1" si="56"/>
        <v>4.5526131351703025E-3</v>
      </c>
      <c r="E628" s="10">
        <f t="shared" ca="1" si="57"/>
        <v>3.2862639279285211</v>
      </c>
      <c r="F628" s="9">
        <f t="shared" ca="1" si="58"/>
        <v>0.16075428580316276</v>
      </c>
      <c r="G628" s="10">
        <f t="shared" ca="1" si="59"/>
        <v>1.831586368922189</v>
      </c>
    </row>
    <row r="629" spans="1:7">
      <c r="A629" s="8">
        <v>624</v>
      </c>
      <c r="B629" s="13">
        <f t="shared" ca="1" si="54"/>
        <v>0.80067829103618193</v>
      </c>
      <c r="C629" s="14">
        <f t="shared" ca="1" si="55"/>
        <v>24.192526974526487</v>
      </c>
      <c r="D629" s="13">
        <f t="shared" ca="1" si="56"/>
        <v>0.24722503613006042</v>
      </c>
      <c r="E629" s="14">
        <f t="shared" ca="1" si="57"/>
        <v>5.1134317164638388</v>
      </c>
      <c r="F629" s="13">
        <f t="shared" ca="1" si="58"/>
        <v>0.54586441112200468</v>
      </c>
      <c r="G629" s="10">
        <f t="shared" ca="1" si="59"/>
        <v>3.5577619220066312</v>
      </c>
    </row>
    <row r="630" spans="1:7">
      <c r="A630" s="8">
        <v>625</v>
      </c>
      <c r="B630" s="9">
        <f t="shared" ca="1" si="54"/>
        <v>0.12458235576974996</v>
      </c>
      <c r="C630" s="10">
        <f t="shared" ca="1" si="55"/>
        <v>1.9958129821183557</v>
      </c>
      <c r="D630" s="9">
        <f t="shared" ca="1" si="56"/>
        <v>0.27065268399363351</v>
      </c>
      <c r="E630" s="10">
        <f t="shared" ca="1" si="57"/>
        <v>5.2214396138707233</v>
      </c>
      <c r="F630" s="9">
        <f t="shared" ca="1" si="58"/>
        <v>0.90847852714291299</v>
      </c>
      <c r="G630" s="10">
        <f t="shared" ca="1" si="59"/>
        <v>7.3806847996256275</v>
      </c>
    </row>
    <row r="631" spans="1:7">
      <c r="A631" s="8">
        <v>626</v>
      </c>
      <c r="B631" s="13">
        <f t="shared" ca="1" si="54"/>
        <v>0.63921141743837995</v>
      </c>
      <c r="C631" s="14">
        <f t="shared" ca="1" si="55"/>
        <v>15.291947041188632</v>
      </c>
      <c r="D631" s="13">
        <f t="shared" ca="1" si="56"/>
        <v>0.35014185818507371</v>
      </c>
      <c r="E631" s="14">
        <f t="shared" ca="1" si="57"/>
        <v>5.6014796292939453</v>
      </c>
      <c r="F631" s="13">
        <f t="shared" ca="1" si="58"/>
        <v>0.42436357964495852</v>
      </c>
      <c r="G631" s="10">
        <f t="shared" ca="1" si="59"/>
        <v>2.9610808739530254</v>
      </c>
    </row>
    <row r="632" spans="1:7">
      <c r="A632" s="8">
        <v>627</v>
      </c>
      <c r="B632" s="9">
        <f t="shared" ca="1" si="54"/>
        <v>0.25363920868170142</v>
      </c>
      <c r="C632" s="10">
        <f t="shared" ca="1" si="55"/>
        <v>4.3881924182535563</v>
      </c>
      <c r="D632" s="9">
        <f t="shared" ca="1" si="56"/>
        <v>0.30448529484386322</v>
      </c>
      <c r="E632" s="10">
        <f t="shared" ca="1" si="57"/>
        <v>5.380526726027469</v>
      </c>
      <c r="F632" s="9">
        <f t="shared" ca="1" si="58"/>
        <v>0.8119387754259374</v>
      </c>
      <c r="G632" s="10">
        <f t="shared" ca="1" si="59"/>
        <v>5.6465121027154881</v>
      </c>
    </row>
    <row r="633" spans="1:7">
      <c r="A633" s="8">
        <v>628</v>
      </c>
      <c r="B633" s="13">
        <f t="shared" ca="1" si="54"/>
        <v>4.6119071788535249E-2</v>
      </c>
      <c r="C633" s="14">
        <f t="shared" ca="1" si="55"/>
        <v>0.70824642778792823</v>
      </c>
      <c r="D633" s="13">
        <f t="shared" ca="1" si="56"/>
        <v>0.53335079141810904</v>
      </c>
      <c r="E633" s="14">
        <f t="shared" ca="1" si="57"/>
        <v>6.5779247385655806</v>
      </c>
      <c r="F633" s="13">
        <f t="shared" ca="1" si="58"/>
        <v>0.12775350590289225</v>
      </c>
      <c r="G633" s="10">
        <f t="shared" ca="1" si="59"/>
        <v>1.6782559207910677</v>
      </c>
    </row>
    <row r="634" spans="1:7">
      <c r="A634" s="8">
        <v>629</v>
      </c>
      <c r="B634" s="9">
        <f t="shared" ca="1" si="54"/>
        <v>0.29650547774730818</v>
      </c>
      <c r="C634" s="10">
        <f t="shared" ca="1" si="55"/>
        <v>5.2754278331879867</v>
      </c>
      <c r="D634" s="9">
        <f t="shared" ca="1" si="56"/>
        <v>0.80048446088997693</v>
      </c>
      <c r="E634" s="10">
        <f t="shared" ca="1" si="57"/>
        <v>8.4546539006845247</v>
      </c>
      <c r="F634" s="9">
        <f t="shared" ca="1" si="58"/>
        <v>0.311082363232839</v>
      </c>
      <c r="G634" s="10">
        <f t="shared" ca="1" si="59"/>
        <v>2.4702742659711956</v>
      </c>
    </row>
    <row r="635" spans="1:7">
      <c r="A635" s="8">
        <v>630</v>
      </c>
      <c r="B635" s="13">
        <f t="shared" ca="1" si="54"/>
        <v>0.16960668662753042</v>
      </c>
      <c r="C635" s="14">
        <f t="shared" ca="1" si="55"/>
        <v>2.7878372835008274</v>
      </c>
      <c r="D635" s="13">
        <f t="shared" ca="1" si="56"/>
        <v>0.78394511802773237</v>
      </c>
      <c r="E635" s="14">
        <f t="shared" ca="1" si="57"/>
        <v>8.3106291099629388</v>
      </c>
      <c r="F635" s="13">
        <f t="shared" ca="1" si="58"/>
        <v>9.4550025223465672E-2</v>
      </c>
      <c r="G635" s="10">
        <f t="shared" ca="1" si="59"/>
        <v>1.5099135061415037</v>
      </c>
    </row>
    <row r="636" spans="1:7">
      <c r="A636" s="8">
        <v>631</v>
      </c>
      <c r="B636" s="9">
        <f t="shared" ca="1" si="54"/>
        <v>8.2617556085716082E-2</v>
      </c>
      <c r="C636" s="10">
        <f t="shared" ca="1" si="55"/>
        <v>1.2934625067938581</v>
      </c>
      <c r="D636" s="9">
        <f t="shared" ca="1" si="56"/>
        <v>0.21449429950321519</v>
      </c>
      <c r="E636" s="10">
        <f t="shared" ca="1" si="57"/>
        <v>4.9649166371777387</v>
      </c>
      <c r="F636" s="9">
        <f t="shared" ca="1" si="58"/>
        <v>0.93366511940409747</v>
      </c>
      <c r="G636" s="10">
        <f t="shared" ca="1" si="59"/>
        <v>8.1841067503791738</v>
      </c>
    </row>
    <row r="637" spans="1:7">
      <c r="A637" s="8">
        <v>632</v>
      </c>
      <c r="B637" s="13">
        <f t="shared" ca="1" si="54"/>
        <v>0.57435619913265046</v>
      </c>
      <c r="C637" s="14">
        <f t="shared" ca="1" si="55"/>
        <v>12.8122864601755</v>
      </c>
      <c r="D637" s="13">
        <f t="shared" ca="1" si="56"/>
        <v>0.20624782770702588</v>
      </c>
      <c r="E637" s="14">
        <f t="shared" ca="1" si="57"/>
        <v>4.9267747400063318</v>
      </c>
      <c r="F637" s="13">
        <f t="shared" ca="1" si="58"/>
        <v>0.10815703855311709</v>
      </c>
      <c r="G637" s="10">
        <f t="shared" ca="1" si="59"/>
        <v>1.5811725937887735</v>
      </c>
    </row>
    <row r="638" spans="1:7">
      <c r="A638" s="8">
        <v>633</v>
      </c>
      <c r="B638" s="9">
        <f t="shared" ca="1" si="54"/>
        <v>0.5719874325257136</v>
      </c>
      <c r="C638" s="10">
        <f t="shared" ca="1" si="55"/>
        <v>12.729040808606307</v>
      </c>
      <c r="D638" s="9">
        <f t="shared" ca="1" si="56"/>
        <v>0.24539645831799262</v>
      </c>
      <c r="E638" s="10">
        <f t="shared" ca="1" si="57"/>
        <v>5.1050726525969496</v>
      </c>
      <c r="F638" s="9">
        <f t="shared" ca="1" si="58"/>
        <v>0.75240019116753321</v>
      </c>
      <c r="G638" s="10">
        <f t="shared" ca="1" si="59"/>
        <v>4.9989971549165233</v>
      </c>
    </row>
    <row r="639" spans="1:7">
      <c r="A639" s="8">
        <v>634</v>
      </c>
      <c r="B639" s="13">
        <f t="shared" ca="1" si="54"/>
        <v>0.57063108366963544</v>
      </c>
      <c r="C639" s="14">
        <f t="shared" ca="1" si="55"/>
        <v>12.681581771532093</v>
      </c>
      <c r="D639" s="13">
        <f t="shared" ca="1" si="56"/>
        <v>0.67974162079630829</v>
      </c>
      <c r="E639" s="14">
        <f t="shared" ca="1" si="57"/>
        <v>7.508198814525227</v>
      </c>
      <c r="F639" s="13">
        <f t="shared" ca="1" si="58"/>
        <v>0.52660259045897484</v>
      </c>
      <c r="G639" s="10">
        <f t="shared" ca="1" si="59"/>
        <v>3.4557495517193293</v>
      </c>
    </row>
    <row r="640" spans="1:7">
      <c r="A640" s="8">
        <v>635</v>
      </c>
      <c r="B640" s="9">
        <f t="shared" ca="1" si="54"/>
        <v>0.46388822684168129</v>
      </c>
      <c r="C640" s="10">
        <f t="shared" ca="1" si="55"/>
        <v>9.3511891145898627</v>
      </c>
      <c r="D640" s="9">
        <f t="shared" ca="1" si="56"/>
        <v>0.52620627597071812</v>
      </c>
      <c r="E640" s="10">
        <f t="shared" ca="1" si="57"/>
        <v>6.5365757428289761</v>
      </c>
      <c r="F640" s="9">
        <f t="shared" ca="1" si="58"/>
        <v>0.40032460595513319</v>
      </c>
      <c r="G640" s="10">
        <f t="shared" ca="1" si="59"/>
        <v>2.8533558876930192</v>
      </c>
    </row>
    <row r="641" spans="1:7">
      <c r="A641" s="8">
        <v>636</v>
      </c>
      <c r="B641" s="13">
        <f t="shared" ca="1" si="54"/>
        <v>0.85491895144342478</v>
      </c>
      <c r="C641" s="14">
        <f t="shared" ca="1" si="55"/>
        <v>28.956941057346722</v>
      </c>
      <c r="D641" s="13">
        <f t="shared" ca="1" si="56"/>
        <v>0.87179330878565142</v>
      </c>
      <c r="E641" s="14">
        <f t="shared" ca="1" si="57"/>
        <v>9.157989875721066</v>
      </c>
      <c r="F641" s="13">
        <f t="shared" ca="1" si="58"/>
        <v>0.55579147437557586</v>
      </c>
      <c r="G641" s="10">
        <f t="shared" ca="1" si="59"/>
        <v>3.6117213629790035</v>
      </c>
    </row>
    <row r="642" spans="1:7">
      <c r="A642" s="8">
        <v>637</v>
      </c>
      <c r="B642" s="9">
        <f t="shared" ca="1" si="54"/>
        <v>0.10721734598713473</v>
      </c>
      <c r="C642" s="10">
        <f t="shared" ca="1" si="55"/>
        <v>1.7011817443929296</v>
      </c>
      <c r="D642" s="9">
        <f t="shared" ca="1" si="56"/>
        <v>0.15616309513349358</v>
      </c>
      <c r="E642" s="10">
        <f t="shared" ca="1" si="57"/>
        <v>4.6765845378038309</v>
      </c>
      <c r="F642" s="9">
        <f t="shared" ca="1" si="58"/>
        <v>0.4058806447913812</v>
      </c>
      <c r="G642" s="10">
        <f t="shared" ca="1" si="59"/>
        <v>2.8780337018171713</v>
      </c>
    </row>
    <row r="643" spans="1:7">
      <c r="A643" s="8">
        <v>638</v>
      </c>
      <c r="B643" s="13">
        <f t="shared" ca="1" si="54"/>
        <v>0.37691936947735771</v>
      </c>
      <c r="C643" s="14">
        <f t="shared" ca="1" si="55"/>
        <v>7.0961901836898225</v>
      </c>
      <c r="D643" s="13">
        <f t="shared" ca="1" si="56"/>
        <v>0.69725532042078631</v>
      </c>
      <c r="E643" s="14">
        <f t="shared" ca="1" si="57"/>
        <v>7.6327451627492051</v>
      </c>
      <c r="F643" s="13">
        <f t="shared" ca="1" si="58"/>
        <v>0.13923242188146767</v>
      </c>
      <c r="G643" s="10">
        <f t="shared" ca="1" si="59"/>
        <v>1.7327944028780078</v>
      </c>
    </row>
    <row r="644" spans="1:7">
      <c r="A644" s="8">
        <v>639</v>
      </c>
      <c r="B644" s="9">
        <f t="shared" ca="1" si="54"/>
        <v>0.78775978807847102</v>
      </c>
      <c r="C644" s="10">
        <f t="shared" ca="1" si="55"/>
        <v>23.250548559805118</v>
      </c>
      <c r="D644" s="9">
        <f t="shared" ca="1" si="56"/>
        <v>0.13295278324671955</v>
      </c>
      <c r="E644" s="10">
        <f t="shared" ca="1" si="57"/>
        <v>4.5469809625334605</v>
      </c>
      <c r="F644" s="9">
        <f t="shared" ca="1" si="58"/>
        <v>0.20680180436253004</v>
      </c>
      <c r="G644" s="10">
        <f t="shared" ca="1" si="59"/>
        <v>2.0328909387805667</v>
      </c>
    </row>
    <row r="645" spans="1:7">
      <c r="A645" s="8">
        <v>640</v>
      </c>
      <c r="B645" s="13">
        <f t="shared" ca="1" si="54"/>
        <v>0.83465552340079474</v>
      </c>
      <c r="C645" s="14">
        <f t="shared" ca="1" si="55"/>
        <v>26.995863666164997</v>
      </c>
      <c r="D645" s="13">
        <f t="shared" ca="1" si="56"/>
        <v>0.92497666120266253</v>
      </c>
      <c r="E645" s="14">
        <f t="shared" ca="1" si="57"/>
        <v>9.8259553030739539</v>
      </c>
      <c r="F645" s="13">
        <f t="shared" ca="1" si="58"/>
        <v>0.25393837087193738</v>
      </c>
      <c r="G645" s="10">
        <f t="shared" ca="1" si="59"/>
        <v>2.2315837659289417</v>
      </c>
    </row>
    <row r="646" spans="1:7">
      <c r="A646" s="8">
        <v>641</v>
      </c>
      <c r="B646" s="9">
        <f t="shared" ref="B646:B709" ca="1" si="60">RAND()</f>
        <v>0.99102327506809917</v>
      </c>
      <c r="C646" s="10">
        <f t="shared" ref="C646:C709" ca="1" si="61">-$J$6 * LN(1 - B646)</f>
        <v>70.696802551575686</v>
      </c>
      <c r="D646" s="9">
        <f t="shared" ref="D646:D709" ca="1" si="62">RAND()</f>
        <v>0.46930296186210307</v>
      </c>
      <c r="E646" s="10">
        <f t="shared" ref="E646:E709" ca="1" si="63">IF(D646&lt;=$N$9, $N$6+SQRT(D646*($N$8-$N$6)*($N$7-$N$6)), $N$8-SQRT((1-D646)*($N$8-$N$6)*($N$8-$N$7)))</f>
        <v>6.2177933794538687</v>
      </c>
      <c r="F646" s="9">
        <f t="shared" ref="F646:F709" ca="1" si="64">RAND()</f>
        <v>0.85505782841179356</v>
      </c>
      <c r="G646" s="10">
        <f t="shared" ca="1" si="59"/>
        <v>6.2652921714352816</v>
      </c>
    </row>
    <row r="647" spans="1:7">
      <c r="A647" s="8">
        <v>642</v>
      </c>
      <c r="B647" s="13">
        <f t="shared" ca="1" si="60"/>
        <v>0.31473991280627522</v>
      </c>
      <c r="C647" s="14">
        <f t="shared" ca="1" si="61"/>
        <v>5.6693523517464222</v>
      </c>
      <c r="D647" s="13">
        <f t="shared" ca="1" si="62"/>
        <v>0.40450506674413245</v>
      </c>
      <c r="E647" s="14">
        <f t="shared" ca="1" si="63"/>
        <v>5.874954629137866</v>
      </c>
      <c r="F647" s="13">
        <f t="shared" ca="1" si="64"/>
        <v>0.92263741775441888</v>
      </c>
      <c r="G647" s="10">
        <f t="shared" ref="G647:G710" ca="1" si="65">_xlfn.LOGNORM.INV(F647, $R$6, $R$7)</f>
        <v>7.7976526710130214</v>
      </c>
    </row>
    <row r="648" spans="1:7">
      <c r="A648" s="8">
        <v>643</v>
      </c>
      <c r="B648" s="9">
        <f t="shared" ca="1" si="60"/>
        <v>1.4988630109669998E-2</v>
      </c>
      <c r="C648" s="10">
        <f t="shared" ca="1" si="61"/>
        <v>0.22653142261200712</v>
      </c>
      <c r="D648" s="9">
        <f t="shared" ca="1" si="62"/>
        <v>0.94958717428894013</v>
      </c>
      <c r="E648" s="10">
        <f t="shared" ca="1" si="63"/>
        <v>10.217864197150853</v>
      </c>
      <c r="F648" s="9">
        <f t="shared" ca="1" si="64"/>
        <v>0.35872091175395293</v>
      </c>
      <c r="G648" s="10">
        <f t="shared" ca="1" si="65"/>
        <v>2.6721198112554072</v>
      </c>
    </row>
    <row r="649" spans="1:7">
      <c r="A649" s="8">
        <v>644</v>
      </c>
      <c r="B649" s="13">
        <f t="shared" ca="1" si="60"/>
        <v>0.88586329256600171</v>
      </c>
      <c r="C649" s="14">
        <f t="shared" ca="1" si="61"/>
        <v>32.555375415326225</v>
      </c>
      <c r="D649" s="13">
        <f t="shared" ca="1" si="62"/>
        <v>0.94502827687787305</v>
      </c>
      <c r="E649" s="14">
        <f t="shared" ca="1" si="63"/>
        <v>10.139027523928954</v>
      </c>
      <c r="F649" s="13">
        <f t="shared" ca="1" si="64"/>
        <v>0.6989788134471645</v>
      </c>
      <c r="G649" s="10">
        <f t="shared" ca="1" si="65"/>
        <v>4.5397840178083957</v>
      </c>
    </row>
    <row r="650" spans="1:7">
      <c r="A650" s="8">
        <v>645</v>
      </c>
      <c r="B650" s="9">
        <f t="shared" ca="1" si="60"/>
        <v>0.35415899334067447</v>
      </c>
      <c r="C650" s="10">
        <f t="shared" ca="1" si="61"/>
        <v>6.5580288782155627</v>
      </c>
      <c r="D650" s="9">
        <f t="shared" ca="1" si="62"/>
        <v>0.2028544990433222</v>
      </c>
      <c r="E650" s="10">
        <f t="shared" ca="1" si="63"/>
        <v>4.9108587029866442</v>
      </c>
      <c r="F650" s="9">
        <f t="shared" ca="1" si="64"/>
        <v>0.9698209384124129</v>
      </c>
      <c r="G650" s="10">
        <f t="shared" ca="1" si="65"/>
        <v>10.246140281953503</v>
      </c>
    </row>
    <row r="651" spans="1:7">
      <c r="A651" s="8">
        <v>646</v>
      </c>
      <c r="B651" s="13">
        <f t="shared" ca="1" si="60"/>
        <v>0.73522583864217472</v>
      </c>
      <c r="C651" s="14">
        <f t="shared" ca="1" si="61"/>
        <v>19.933170564512313</v>
      </c>
      <c r="D651" s="13">
        <f t="shared" ca="1" si="62"/>
        <v>0.92712001161831326</v>
      </c>
      <c r="E651" s="14">
        <f t="shared" ca="1" si="63"/>
        <v>9.8572356013676483</v>
      </c>
      <c r="F651" s="13">
        <f t="shared" ca="1" si="64"/>
        <v>0.31481441716351888</v>
      </c>
      <c r="G651" s="10">
        <f t="shared" ca="1" si="65"/>
        <v>2.4859388605706014</v>
      </c>
    </row>
    <row r="652" spans="1:7">
      <c r="A652" s="8">
        <v>647</v>
      </c>
      <c r="B652" s="9">
        <f t="shared" ca="1" si="60"/>
        <v>0.34368803974138329</v>
      </c>
      <c r="C652" s="10">
        <f t="shared" ca="1" si="61"/>
        <v>6.3167858085150144</v>
      </c>
      <c r="D652" s="9">
        <f t="shared" ca="1" si="62"/>
        <v>0.96237147124859912</v>
      </c>
      <c r="E652" s="10">
        <f t="shared" ca="1" si="63"/>
        <v>10.46032558268371</v>
      </c>
      <c r="F652" s="9">
        <f t="shared" ca="1" si="64"/>
        <v>0.21054743085070116</v>
      </c>
      <c r="G652" s="10">
        <f t="shared" ca="1" si="65"/>
        <v>2.0488651713303119</v>
      </c>
    </row>
    <row r="653" spans="1:7">
      <c r="A653" s="8">
        <v>648</v>
      </c>
      <c r="B653" s="13">
        <f t="shared" ca="1" si="60"/>
        <v>0.5057861463102491</v>
      </c>
      <c r="C653" s="14">
        <f t="shared" ca="1" si="61"/>
        <v>10.571804298950509</v>
      </c>
      <c r="D653" s="13">
        <f t="shared" ca="1" si="62"/>
        <v>0.2996854408498616</v>
      </c>
      <c r="E653" s="14">
        <f t="shared" ca="1" si="63"/>
        <v>5.357724996173471</v>
      </c>
      <c r="F653" s="13">
        <f t="shared" ca="1" si="64"/>
        <v>0.1906923212731092</v>
      </c>
      <c r="G653" s="10">
        <f t="shared" ca="1" si="65"/>
        <v>1.9636230549512839</v>
      </c>
    </row>
    <row r="654" spans="1:7">
      <c r="A654" s="8">
        <v>649</v>
      </c>
      <c r="B654" s="9">
        <f t="shared" ca="1" si="60"/>
        <v>0.94052454779104455</v>
      </c>
      <c r="C654" s="10">
        <f t="shared" ca="1" si="61"/>
        <v>42.332874292152397</v>
      </c>
      <c r="D654" s="9">
        <f t="shared" ca="1" si="62"/>
        <v>6.9513919004955183E-2</v>
      </c>
      <c r="E654" s="10">
        <f t="shared" ca="1" si="63"/>
        <v>4.118593108368362</v>
      </c>
      <c r="F654" s="9">
        <f t="shared" ca="1" si="64"/>
        <v>2.892064953123108E-3</v>
      </c>
      <c r="G654" s="10">
        <f t="shared" ca="1" si="65"/>
        <v>0.63389965722926012</v>
      </c>
    </row>
    <row r="655" spans="1:7">
      <c r="A655" s="8">
        <v>650</v>
      </c>
      <c r="B655" s="13">
        <f t="shared" ca="1" si="60"/>
        <v>0.83581283776261206</v>
      </c>
      <c r="C655" s="14">
        <f t="shared" ca="1" si="61"/>
        <v>27.101224030719933</v>
      </c>
      <c r="D655" s="13">
        <f t="shared" ca="1" si="62"/>
        <v>5.8866973426397906E-2</v>
      </c>
      <c r="E655" s="14">
        <f t="shared" ca="1" si="63"/>
        <v>4.0293714206617368</v>
      </c>
      <c r="F655" s="13">
        <f t="shared" ca="1" si="64"/>
        <v>0.47478880042229799</v>
      </c>
      <c r="G655" s="10">
        <f t="shared" ca="1" si="65"/>
        <v>3.1965038431096708</v>
      </c>
    </row>
    <row r="656" spans="1:7">
      <c r="A656" s="8">
        <v>651</v>
      </c>
      <c r="B656" s="9">
        <f t="shared" ca="1" si="60"/>
        <v>0.76453607721265582</v>
      </c>
      <c r="C656" s="10">
        <f t="shared" ca="1" si="61"/>
        <v>21.69296357055034</v>
      </c>
      <c r="D656" s="9">
        <f t="shared" ca="1" si="62"/>
        <v>1.3270480268606555E-2</v>
      </c>
      <c r="E656" s="10">
        <f t="shared" ca="1" si="63"/>
        <v>3.4887419000197526</v>
      </c>
      <c r="F656" s="9">
        <f t="shared" ca="1" si="64"/>
        <v>0.78087412231545772</v>
      </c>
      <c r="G656" s="10">
        <f t="shared" ca="1" si="65"/>
        <v>5.286145084265554</v>
      </c>
    </row>
    <row r="657" spans="1:7">
      <c r="A657" s="8">
        <v>652</v>
      </c>
      <c r="B657" s="13">
        <f t="shared" ca="1" si="60"/>
        <v>0.97838025285959618</v>
      </c>
      <c r="C657" s="14">
        <f t="shared" ca="1" si="61"/>
        <v>57.512222437094479</v>
      </c>
      <c r="D657" s="13">
        <f t="shared" ca="1" si="62"/>
        <v>0.90744888886736752</v>
      </c>
      <c r="E657" s="14">
        <f t="shared" ca="1" si="63"/>
        <v>9.5853116140263879</v>
      </c>
      <c r="F657" s="13">
        <f t="shared" ca="1" si="64"/>
        <v>0.58945001571405609</v>
      </c>
      <c r="G657" s="10">
        <f t="shared" ca="1" si="65"/>
        <v>3.8025742253488097</v>
      </c>
    </row>
    <row r="658" spans="1:7">
      <c r="A658" s="8">
        <v>653</v>
      </c>
      <c r="B658" s="9">
        <f t="shared" ca="1" si="60"/>
        <v>0.38320465316237184</v>
      </c>
      <c r="C658" s="10">
        <f t="shared" ca="1" si="61"/>
        <v>7.2482700119856229</v>
      </c>
      <c r="D658" s="9">
        <f t="shared" ca="1" si="62"/>
        <v>0.98048327003170432</v>
      </c>
      <c r="E658" s="10">
        <f t="shared" ca="1" si="63"/>
        <v>10.891147445327997</v>
      </c>
      <c r="F658" s="9">
        <f t="shared" ca="1" si="64"/>
        <v>1.5284540395750223E-2</v>
      </c>
      <c r="G658" s="10">
        <f t="shared" ca="1" si="65"/>
        <v>0.90702757342032114</v>
      </c>
    </row>
    <row r="659" spans="1:7">
      <c r="A659" s="8">
        <v>654</v>
      </c>
      <c r="B659" s="13">
        <f t="shared" ca="1" si="60"/>
        <v>0.26413379333000897</v>
      </c>
      <c r="C659" s="14">
        <f t="shared" ca="1" si="61"/>
        <v>4.600604417907352</v>
      </c>
      <c r="D659" s="13">
        <f t="shared" ca="1" si="62"/>
        <v>4.3088891910322169E-2</v>
      </c>
      <c r="E659" s="14">
        <f t="shared" ca="1" si="63"/>
        <v>3.8806815851292673</v>
      </c>
      <c r="F659" s="13">
        <f t="shared" ca="1" si="64"/>
        <v>0.79517218188808536</v>
      </c>
      <c r="G659" s="10">
        <f t="shared" ca="1" si="65"/>
        <v>5.4450115237598133</v>
      </c>
    </row>
    <row r="660" spans="1:7">
      <c r="A660" s="8">
        <v>655</v>
      </c>
      <c r="B660" s="9">
        <f t="shared" ca="1" si="60"/>
        <v>0.37219936909921802</v>
      </c>
      <c r="C660" s="10">
        <f t="shared" ca="1" si="61"/>
        <v>6.9829894445349741</v>
      </c>
      <c r="D660" s="9">
        <f t="shared" ca="1" si="62"/>
        <v>0.54825143882898864</v>
      </c>
      <c r="E660" s="10">
        <f t="shared" ca="1" si="63"/>
        <v>6.6651935973482868</v>
      </c>
      <c r="F660" s="9">
        <f t="shared" ca="1" si="64"/>
        <v>0.34722510878346624</v>
      </c>
      <c r="G660" s="10">
        <f t="shared" ca="1" si="65"/>
        <v>2.6229672139357354</v>
      </c>
    </row>
    <row r="661" spans="1:7">
      <c r="A661" s="8">
        <v>656</v>
      </c>
      <c r="B661" s="13">
        <f t="shared" ca="1" si="60"/>
        <v>0.42332251598532988</v>
      </c>
      <c r="C661" s="14">
        <f t="shared" ca="1" si="61"/>
        <v>8.2570818289112466</v>
      </c>
      <c r="D661" s="13">
        <f t="shared" ca="1" si="62"/>
        <v>0.10757507466719263</v>
      </c>
      <c r="E661" s="14">
        <f t="shared" ca="1" si="63"/>
        <v>4.3915284201228042</v>
      </c>
      <c r="F661" s="13">
        <f t="shared" ca="1" si="64"/>
        <v>0.87508952951306052</v>
      </c>
      <c r="G661" s="10">
        <f t="shared" ca="1" si="65"/>
        <v>6.6224847847087736</v>
      </c>
    </row>
    <row r="662" spans="1:7">
      <c r="A662" s="8">
        <v>657</v>
      </c>
      <c r="B662" s="9">
        <f t="shared" ca="1" si="60"/>
        <v>9.6043351465806226E-2</v>
      </c>
      <c r="C662" s="10">
        <f t="shared" ca="1" si="61"/>
        <v>1.5146081235170421</v>
      </c>
      <c r="D662" s="9">
        <f t="shared" ca="1" si="62"/>
        <v>0.35666108044729183</v>
      </c>
      <c r="E662" s="10">
        <f t="shared" ca="1" si="63"/>
        <v>5.633654742961185</v>
      </c>
      <c r="F662" s="9">
        <f t="shared" ca="1" si="64"/>
        <v>3.2386623935942604E-2</v>
      </c>
      <c r="G662" s="10">
        <f t="shared" ca="1" si="65"/>
        <v>1.0962640320357881</v>
      </c>
    </row>
    <row r="663" spans="1:7">
      <c r="A663" s="8">
        <v>658</v>
      </c>
      <c r="B663" s="13">
        <f t="shared" ca="1" si="60"/>
        <v>0.45490708622748155</v>
      </c>
      <c r="C663" s="14">
        <f t="shared" ca="1" si="61"/>
        <v>9.1019852229504572</v>
      </c>
      <c r="D663" s="13">
        <f t="shared" ca="1" si="62"/>
        <v>0.94219478329971629</v>
      </c>
      <c r="E663" s="14">
        <f t="shared" ca="1" si="63"/>
        <v>10.09166862098904</v>
      </c>
      <c r="F663" s="13">
        <f t="shared" ca="1" si="64"/>
        <v>0.23050155341460388</v>
      </c>
      <c r="G663" s="10">
        <f t="shared" ca="1" si="65"/>
        <v>2.133326166009232</v>
      </c>
    </row>
    <row r="664" spans="1:7">
      <c r="A664" s="8">
        <v>659</v>
      </c>
      <c r="B664" s="9">
        <f t="shared" ca="1" si="60"/>
        <v>0.81488173108364259</v>
      </c>
      <c r="C664" s="10">
        <f t="shared" ca="1" si="61"/>
        <v>25.301405500856479</v>
      </c>
      <c r="D664" s="9">
        <f t="shared" ca="1" si="62"/>
        <v>0.84302651255194849</v>
      </c>
      <c r="E664" s="10">
        <f t="shared" ca="1" si="63"/>
        <v>8.8552695331352727</v>
      </c>
      <c r="F664" s="9">
        <f t="shared" ca="1" si="64"/>
        <v>0.97633555925897841</v>
      </c>
      <c r="G664" s="10">
        <f t="shared" ca="1" si="65"/>
        <v>10.913571782754017</v>
      </c>
    </row>
    <row r="665" spans="1:7">
      <c r="A665" s="8">
        <v>660</v>
      </c>
      <c r="B665" s="13">
        <f t="shared" ca="1" si="60"/>
        <v>0.59045616193424377</v>
      </c>
      <c r="C665" s="14">
        <f t="shared" ca="1" si="61"/>
        <v>13.390669931326666</v>
      </c>
      <c r="D665" s="13">
        <f t="shared" ca="1" si="62"/>
        <v>7.8556403198275948E-2</v>
      </c>
      <c r="E665" s="14">
        <f t="shared" ca="1" si="63"/>
        <v>4.1891237351802237</v>
      </c>
      <c r="F665" s="13">
        <f t="shared" ca="1" si="64"/>
        <v>0.87152174872685684</v>
      </c>
      <c r="G665" s="10">
        <f t="shared" ca="1" si="65"/>
        <v>6.5546085216156227</v>
      </c>
    </row>
    <row r="666" spans="1:7">
      <c r="A666" s="8">
        <v>661</v>
      </c>
      <c r="B666" s="9">
        <f t="shared" ca="1" si="60"/>
        <v>0.14581266850166263</v>
      </c>
      <c r="C666" s="10">
        <f t="shared" ca="1" si="61"/>
        <v>2.3640712728384772</v>
      </c>
      <c r="D666" s="9">
        <f t="shared" ca="1" si="62"/>
        <v>0.31444027786392814</v>
      </c>
      <c r="E666" s="10">
        <f t="shared" ca="1" si="63"/>
        <v>5.428070108820962</v>
      </c>
      <c r="F666" s="9">
        <f t="shared" ca="1" si="64"/>
        <v>0.71063058059395334</v>
      </c>
      <c r="G666" s="10">
        <f t="shared" ca="1" si="65"/>
        <v>4.6326853778081674</v>
      </c>
    </row>
    <row r="667" spans="1:7">
      <c r="A667" s="8">
        <v>662</v>
      </c>
      <c r="B667" s="13">
        <f t="shared" ca="1" si="60"/>
        <v>0.55629950236118386</v>
      </c>
      <c r="C667" s="14">
        <f t="shared" ca="1" si="61"/>
        <v>12.189082485479144</v>
      </c>
      <c r="D667" s="13">
        <f t="shared" ca="1" si="62"/>
        <v>0.87464242058152275</v>
      </c>
      <c r="E667" s="14">
        <f t="shared" ca="1" si="63"/>
        <v>9.1897460073217463</v>
      </c>
      <c r="F667" s="13">
        <f t="shared" ca="1" si="64"/>
        <v>0.46820043606039119</v>
      </c>
      <c r="G667" s="10">
        <f t="shared" ca="1" si="65"/>
        <v>3.1649062388934817</v>
      </c>
    </row>
    <row r="668" spans="1:7">
      <c r="A668" s="8">
        <v>663</v>
      </c>
      <c r="B668" s="9">
        <f t="shared" ca="1" si="60"/>
        <v>0.19431475211521687</v>
      </c>
      <c r="C668" s="10">
        <f t="shared" ca="1" si="61"/>
        <v>3.2409318608116324</v>
      </c>
      <c r="D668" s="9">
        <f t="shared" ca="1" si="62"/>
        <v>0.252703033036904</v>
      </c>
      <c r="E668" s="10">
        <f t="shared" ca="1" si="63"/>
        <v>5.1385344919124574</v>
      </c>
      <c r="F668" s="9">
        <f t="shared" ca="1" si="64"/>
        <v>0.67824562994849602</v>
      </c>
      <c r="G668" s="10">
        <f t="shared" ca="1" si="65"/>
        <v>4.3827621592567079</v>
      </c>
    </row>
    <row r="669" spans="1:7">
      <c r="A669" s="8">
        <v>664</v>
      </c>
      <c r="B669" s="13">
        <f t="shared" ca="1" si="60"/>
        <v>4.043832977675299E-3</v>
      </c>
      <c r="C669" s="14">
        <f t="shared" ca="1" si="61"/>
        <v>6.078047069541144E-2</v>
      </c>
      <c r="D669" s="13">
        <f t="shared" ca="1" si="62"/>
        <v>0.69629970668108232</v>
      </c>
      <c r="E669" s="14">
        <f t="shared" ca="1" si="63"/>
        <v>7.6258579722313753</v>
      </c>
      <c r="F669" s="13">
        <f t="shared" ca="1" si="64"/>
        <v>0.97734863914979475</v>
      </c>
      <c r="G669" s="10">
        <f t="shared" ca="1" si="65"/>
        <v>11.035304725882492</v>
      </c>
    </row>
    <row r="670" spans="1:7">
      <c r="A670" s="8">
        <v>665</v>
      </c>
      <c r="B670" s="9">
        <f t="shared" ca="1" si="60"/>
        <v>0.19546698123172179</v>
      </c>
      <c r="C670" s="10">
        <f t="shared" ca="1" si="61"/>
        <v>3.2623990619426513</v>
      </c>
      <c r="D670" s="9">
        <f t="shared" ca="1" si="62"/>
        <v>0.43269848942248845</v>
      </c>
      <c r="E670" s="10">
        <f t="shared" ca="1" si="63"/>
        <v>6.021706333209849</v>
      </c>
      <c r="F670" s="9">
        <f t="shared" ca="1" si="64"/>
        <v>0.39993707279396062</v>
      </c>
      <c r="G670" s="10">
        <f t="shared" ca="1" si="65"/>
        <v>2.8516392618209703</v>
      </c>
    </row>
    <row r="671" spans="1:7">
      <c r="A671" s="8">
        <v>666</v>
      </c>
      <c r="B671" s="13">
        <f t="shared" ca="1" si="60"/>
        <v>7.4126824114504664E-2</v>
      </c>
      <c r="C671" s="14">
        <f t="shared" ca="1" si="61"/>
        <v>1.155270192039719</v>
      </c>
      <c r="D671" s="13">
        <f t="shared" ca="1" si="62"/>
        <v>0.5457706455793615</v>
      </c>
      <c r="E671" s="14">
        <f t="shared" ca="1" si="63"/>
        <v>6.6505655132060717</v>
      </c>
      <c r="F671" s="13">
        <f t="shared" ca="1" si="64"/>
        <v>0.44114808441660436</v>
      </c>
      <c r="G671" s="10">
        <f t="shared" ca="1" si="65"/>
        <v>3.0378941808934647</v>
      </c>
    </row>
    <row r="672" spans="1:7">
      <c r="A672" s="8">
        <v>667</v>
      </c>
      <c r="B672" s="9">
        <f t="shared" ca="1" si="60"/>
        <v>0.98196668583278157</v>
      </c>
      <c r="C672" s="10">
        <f t="shared" ca="1" si="61"/>
        <v>60.233016669215388</v>
      </c>
      <c r="D672" s="9">
        <f t="shared" ca="1" si="62"/>
        <v>0.44106834210508239</v>
      </c>
      <c r="E672" s="10">
        <f t="shared" ca="1" si="63"/>
        <v>6.065971482426141</v>
      </c>
      <c r="F672" s="9">
        <f t="shared" ca="1" si="64"/>
        <v>0.75789532744535693</v>
      </c>
      <c r="G672" s="10">
        <f t="shared" ca="1" si="65"/>
        <v>5.0517214703137965</v>
      </c>
    </row>
    <row r="673" spans="1:7">
      <c r="A673" s="8">
        <v>668</v>
      </c>
      <c r="B673" s="13">
        <f t="shared" ca="1" si="60"/>
        <v>0.45189321304491659</v>
      </c>
      <c r="C673" s="14">
        <f t="shared" ca="1" si="61"/>
        <v>9.0192771646772307</v>
      </c>
      <c r="D673" s="13">
        <f t="shared" ca="1" si="62"/>
        <v>1.5242621973718951E-3</v>
      </c>
      <c r="E673" s="14">
        <f t="shared" ca="1" si="63"/>
        <v>3.1656403319022699</v>
      </c>
      <c r="F673" s="13">
        <f t="shared" ca="1" si="64"/>
        <v>0.21925117617050727</v>
      </c>
      <c r="G673" s="10">
        <f t="shared" ca="1" si="65"/>
        <v>2.0858265006148051</v>
      </c>
    </row>
    <row r="674" spans="1:7">
      <c r="A674" s="8">
        <v>669</v>
      </c>
      <c r="B674" s="9">
        <f t="shared" ca="1" si="60"/>
        <v>0.66907604745346327</v>
      </c>
      <c r="C674" s="10">
        <f t="shared" ca="1" si="61"/>
        <v>16.588000209247237</v>
      </c>
      <c r="D674" s="9">
        <f t="shared" ca="1" si="62"/>
        <v>0.61210489472591911</v>
      </c>
      <c r="E674" s="10">
        <f t="shared" ca="1" si="63"/>
        <v>7.0565809774744874</v>
      </c>
      <c r="F674" s="9">
        <f t="shared" ca="1" si="64"/>
        <v>0.54774705573775795</v>
      </c>
      <c r="G674" s="10">
        <f t="shared" ca="1" si="65"/>
        <v>3.5679199389012659</v>
      </c>
    </row>
    <row r="675" spans="1:7">
      <c r="A675" s="8">
        <v>670</v>
      </c>
      <c r="B675" s="13">
        <f t="shared" ca="1" si="60"/>
        <v>0.7612357319388634</v>
      </c>
      <c r="C675" s="14">
        <f t="shared" ca="1" si="61"/>
        <v>21.484178098414972</v>
      </c>
      <c r="D675" s="13">
        <f t="shared" ca="1" si="62"/>
        <v>0.61472369980310404</v>
      </c>
      <c r="E675" s="14">
        <f t="shared" ca="1" si="63"/>
        <v>7.0732965471418474</v>
      </c>
      <c r="F675" s="13">
        <f t="shared" ca="1" si="64"/>
        <v>0.97234849250819855</v>
      </c>
      <c r="G675" s="10">
        <f t="shared" ca="1" si="65"/>
        <v>10.484445445388955</v>
      </c>
    </row>
    <row r="676" spans="1:7">
      <c r="A676" s="8">
        <v>671</v>
      </c>
      <c r="B676" s="9">
        <f t="shared" ca="1" si="60"/>
        <v>0.87191236315704379</v>
      </c>
      <c r="C676" s="10">
        <f t="shared" ca="1" si="61"/>
        <v>30.825608797523955</v>
      </c>
      <c r="D676" s="9">
        <f t="shared" ca="1" si="62"/>
        <v>0.36865742607693364</v>
      </c>
      <c r="E676" s="10">
        <f t="shared" ca="1" si="63"/>
        <v>5.6932907029772508</v>
      </c>
      <c r="F676" s="9">
        <f t="shared" ca="1" si="64"/>
        <v>0.79791501306949453</v>
      </c>
      <c r="G676" s="10">
        <f t="shared" ca="1" si="65"/>
        <v>5.4767847703418262</v>
      </c>
    </row>
    <row r="677" spans="1:7">
      <c r="A677" s="8">
        <v>672</v>
      </c>
      <c r="B677" s="13">
        <f t="shared" ca="1" si="60"/>
        <v>0.16973611448101633</v>
      </c>
      <c r="C677" s="14">
        <f t="shared" ca="1" si="61"/>
        <v>2.7901754154253635</v>
      </c>
      <c r="D677" s="13">
        <f t="shared" ca="1" si="62"/>
        <v>0.84170418922402879</v>
      </c>
      <c r="E677" s="14">
        <f t="shared" ca="1" si="63"/>
        <v>8.8420519195391787</v>
      </c>
      <c r="F677" s="13">
        <f t="shared" ca="1" si="64"/>
        <v>0.93468513335264924</v>
      </c>
      <c r="G677" s="10">
        <f t="shared" ca="1" si="65"/>
        <v>8.2233194248335799</v>
      </c>
    </row>
    <row r="678" spans="1:7">
      <c r="A678" s="8">
        <v>673</v>
      </c>
      <c r="B678" s="9">
        <f t="shared" ca="1" si="60"/>
        <v>3.3622308293840275E-3</v>
      </c>
      <c r="C678" s="10">
        <f t="shared" ca="1" si="61"/>
        <v>5.0518437435714054E-2</v>
      </c>
      <c r="D678" s="9">
        <f t="shared" ca="1" si="62"/>
        <v>0.71558850953548336</v>
      </c>
      <c r="E678" s="10">
        <f t="shared" ca="1" si="63"/>
        <v>7.7670431257495016</v>
      </c>
      <c r="F678" s="9">
        <f t="shared" ca="1" si="64"/>
        <v>0.39170260621234554</v>
      </c>
      <c r="G678" s="10">
        <f t="shared" ca="1" si="65"/>
        <v>2.8153018494740278</v>
      </c>
    </row>
    <row r="679" spans="1:7">
      <c r="A679" s="8">
        <v>674</v>
      </c>
      <c r="B679" s="13">
        <f t="shared" ca="1" si="60"/>
        <v>0.88737424639702078</v>
      </c>
      <c r="C679" s="14">
        <f t="shared" ca="1" si="61"/>
        <v>32.755273077264064</v>
      </c>
      <c r="D679" s="13">
        <f t="shared" ca="1" si="62"/>
        <v>0.40163540401000519</v>
      </c>
      <c r="E679" s="14">
        <f t="shared" ca="1" si="63"/>
        <v>5.8602142099768928</v>
      </c>
      <c r="F679" s="13">
        <f t="shared" ca="1" si="64"/>
        <v>0.12721080617423597</v>
      </c>
      <c r="G679" s="10">
        <f t="shared" ca="1" si="65"/>
        <v>1.6756394204600493</v>
      </c>
    </row>
    <row r="680" spans="1:7">
      <c r="A680" s="8">
        <v>675</v>
      </c>
      <c r="B680" s="9">
        <f t="shared" ca="1" si="60"/>
        <v>0.43120557182503827</v>
      </c>
      <c r="C680" s="10">
        <f t="shared" ca="1" si="61"/>
        <v>8.4635429444305696</v>
      </c>
      <c r="D680" s="9">
        <f t="shared" ca="1" si="62"/>
        <v>5.8570557303116444E-2</v>
      </c>
      <c r="E680" s="10">
        <f t="shared" ca="1" si="63"/>
        <v>4.026776524593398</v>
      </c>
      <c r="F680" s="9">
        <f t="shared" ca="1" si="64"/>
        <v>0.74886265960903442</v>
      </c>
      <c r="G680" s="10">
        <f t="shared" ca="1" si="65"/>
        <v>4.9656738052901357</v>
      </c>
    </row>
    <row r="681" spans="1:7">
      <c r="A681" s="8">
        <v>676</v>
      </c>
      <c r="B681" s="13">
        <f t="shared" ca="1" si="60"/>
        <v>0.24097101885231875</v>
      </c>
      <c r="C681" s="14">
        <f t="shared" ca="1" si="61"/>
        <v>4.1357297847779035</v>
      </c>
      <c r="D681" s="13">
        <f t="shared" ca="1" si="62"/>
        <v>0.30527897177231234</v>
      </c>
      <c r="E681" s="14">
        <f t="shared" ca="1" si="63"/>
        <v>5.3843046640323342</v>
      </c>
      <c r="F681" s="13">
        <f t="shared" ca="1" si="64"/>
        <v>0.98844304774500935</v>
      </c>
      <c r="G681" s="10">
        <f t="shared" ca="1" si="65"/>
        <v>12.973748994874983</v>
      </c>
    </row>
    <row r="682" spans="1:7">
      <c r="A682" s="8">
        <v>677</v>
      </c>
      <c r="B682" s="9">
        <f t="shared" ca="1" si="60"/>
        <v>6.1770439577377045E-2</v>
      </c>
      <c r="C682" s="10">
        <f t="shared" ca="1" si="61"/>
        <v>0.95640938988505797</v>
      </c>
      <c r="D682" s="9">
        <f t="shared" ca="1" si="62"/>
        <v>0.57193746025488079</v>
      </c>
      <c r="E682" s="10">
        <f t="shared" ca="1" si="63"/>
        <v>6.8069334681767737</v>
      </c>
      <c r="F682" s="9">
        <f t="shared" ca="1" si="64"/>
        <v>0.52235564677028579</v>
      </c>
      <c r="G682" s="10">
        <f t="shared" ca="1" si="65"/>
        <v>3.4337054831818286</v>
      </c>
    </row>
    <row r="683" spans="1:7">
      <c r="A683" s="8">
        <v>678</v>
      </c>
      <c r="B683" s="13">
        <f t="shared" ca="1" si="60"/>
        <v>0.937512253149001</v>
      </c>
      <c r="C683" s="14">
        <f t="shared" ca="1" si="61"/>
        <v>41.591771877662786</v>
      </c>
      <c r="D683" s="13">
        <f t="shared" ca="1" si="62"/>
        <v>0.47547350600050831</v>
      </c>
      <c r="E683" s="14">
        <f t="shared" ca="1" si="63"/>
        <v>6.2515072304152648</v>
      </c>
      <c r="F683" s="13">
        <f t="shared" ca="1" si="64"/>
        <v>0.4562596361050556</v>
      </c>
      <c r="G683" s="10">
        <f t="shared" ca="1" si="65"/>
        <v>3.1083223469526202</v>
      </c>
    </row>
    <row r="684" spans="1:7">
      <c r="A684" s="8">
        <v>679</v>
      </c>
      <c r="B684" s="9">
        <f t="shared" ca="1" si="60"/>
        <v>0.90914472252166623</v>
      </c>
      <c r="C684" s="10">
        <f t="shared" ca="1" si="61"/>
        <v>35.977310937103979</v>
      </c>
      <c r="D684" s="9">
        <f t="shared" ca="1" si="62"/>
        <v>0.72551192251766328</v>
      </c>
      <c r="E684" s="10">
        <f t="shared" ca="1" si="63"/>
        <v>7.8415448924646052</v>
      </c>
      <c r="F684" s="9">
        <f t="shared" ca="1" si="64"/>
        <v>0.96506406853506699</v>
      </c>
      <c r="G684" s="10">
        <f t="shared" ca="1" si="65"/>
        <v>9.8517023571360589</v>
      </c>
    </row>
    <row r="685" spans="1:7">
      <c r="A685" s="8">
        <v>680</v>
      </c>
      <c r="B685" s="13">
        <f t="shared" ca="1" si="60"/>
        <v>0.8281722531871365</v>
      </c>
      <c r="C685" s="14">
        <f t="shared" ca="1" si="61"/>
        <v>26.418941639926203</v>
      </c>
      <c r="D685" s="13">
        <f t="shared" ca="1" si="62"/>
        <v>0.84825303187066303</v>
      </c>
      <c r="E685" s="14">
        <f t="shared" ca="1" si="63"/>
        <v>8.908065493554524</v>
      </c>
      <c r="F685" s="13">
        <f t="shared" ca="1" si="64"/>
        <v>0.61194583585780982</v>
      </c>
      <c r="G685" s="10">
        <f t="shared" ca="1" si="65"/>
        <v>3.9378563452882838</v>
      </c>
    </row>
    <row r="686" spans="1:7">
      <c r="A686" s="8">
        <v>681</v>
      </c>
      <c r="B686" s="9">
        <f t="shared" ca="1" si="60"/>
        <v>0.5617388599596379</v>
      </c>
      <c r="C686" s="10">
        <f t="shared" ca="1" si="61"/>
        <v>12.374105041957941</v>
      </c>
      <c r="D686" s="9">
        <f t="shared" ca="1" si="62"/>
        <v>0.90820623414826673</v>
      </c>
      <c r="E686" s="10">
        <f t="shared" ca="1" si="63"/>
        <v>9.5952116000239869</v>
      </c>
      <c r="F686" s="9">
        <f t="shared" ca="1" si="64"/>
        <v>0.65778924594630395</v>
      </c>
      <c r="G686" s="10">
        <f t="shared" ca="1" si="65"/>
        <v>4.2370286120691878</v>
      </c>
    </row>
    <row r="687" spans="1:7">
      <c r="A687" s="8">
        <v>682</v>
      </c>
      <c r="B687" s="13">
        <f t="shared" ca="1" si="60"/>
        <v>0.75977092794636525</v>
      </c>
      <c r="C687" s="14">
        <f t="shared" ca="1" si="61"/>
        <v>21.392435159458326</v>
      </c>
      <c r="D687" s="13">
        <f t="shared" ca="1" si="62"/>
        <v>0.24660775996741457</v>
      </c>
      <c r="E687" s="14">
        <f t="shared" ca="1" si="63"/>
        <v>5.110608798881219</v>
      </c>
      <c r="F687" s="13">
        <f t="shared" ca="1" si="64"/>
        <v>1.3655980455413497E-2</v>
      </c>
      <c r="G687" s="10">
        <f t="shared" ca="1" si="65"/>
        <v>0.88318726531409097</v>
      </c>
    </row>
    <row r="688" spans="1:7">
      <c r="A688" s="8">
        <v>683</v>
      </c>
      <c r="B688" s="9">
        <f t="shared" ca="1" si="60"/>
        <v>7.9133488838168953E-3</v>
      </c>
      <c r="C688" s="10">
        <f t="shared" ca="1" si="61"/>
        <v>0.11917238394808231</v>
      </c>
      <c r="D688" s="9">
        <f t="shared" ca="1" si="62"/>
        <v>0.53687293941249337</v>
      </c>
      <c r="E688" s="10">
        <f t="shared" ca="1" si="63"/>
        <v>6.598425709386853</v>
      </c>
      <c r="F688" s="9">
        <f t="shared" ca="1" si="64"/>
        <v>0.72658326177245158</v>
      </c>
      <c r="G688" s="10">
        <f t="shared" ca="1" si="65"/>
        <v>4.7659987246394904</v>
      </c>
    </row>
    <row r="689" spans="1:7">
      <c r="A689" s="8">
        <v>684</v>
      </c>
      <c r="B689" s="13">
        <f t="shared" ca="1" si="60"/>
        <v>0.97356940393650582</v>
      </c>
      <c r="C689" s="14">
        <f t="shared" ca="1" si="61"/>
        <v>54.498494971281985</v>
      </c>
      <c r="D689" s="13">
        <f t="shared" ca="1" si="62"/>
        <v>4.3694068189848556E-2</v>
      </c>
      <c r="E689" s="14">
        <f t="shared" ca="1" si="63"/>
        <v>3.8868445339614346</v>
      </c>
      <c r="F689" s="13">
        <f t="shared" ca="1" si="64"/>
        <v>0.64568030539825982</v>
      </c>
      <c r="G689" s="10">
        <f t="shared" ca="1" si="65"/>
        <v>4.1545762324186892</v>
      </c>
    </row>
    <row r="690" spans="1:7">
      <c r="A690" s="8">
        <v>685</v>
      </c>
      <c r="B690" s="9">
        <f t="shared" ca="1" si="60"/>
        <v>0.95014965634268267</v>
      </c>
      <c r="C690" s="10">
        <f t="shared" ca="1" si="61"/>
        <v>44.980948331553329</v>
      </c>
      <c r="D690" s="9">
        <f t="shared" ca="1" si="62"/>
        <v>0.1573080690546439</v>
      </c>
      <c r="E690" s="10">
        <f t="shared" ca="1" si="63"/>
        <v>4.682719597254275</v>
      </c>
      <c r="F690" s="9">
        <f t="shared" ca="1" si="64"/>
        <v>0.36670092719524816</v>
      </c>
      <c r="G690" s="10">
        <f t="shared" ca="1" si="65"/>
        <v>2.7064497180848148</v>
      </c>
    </row>
    <row r="691" spans="1:7">
      <c r="A691" s="8">
        <v>686</v>
      </c>
      <c r="B691" s="13">
        <f t="shared" ca="1" si="60"/>
        <v>0.47904384157879543</v>
      </c>
      <c r="C691" s="14">
        <f t="shared" ca="1" si="61"/>
        <v>9.7813408450968868</v>
      </c>
      <c r="D691" s="13">
        <f t="shared" ca="1" si="62"/>
        <v>7.2444002234735239E-2</v>
      </c>
      <c r="E691" s="14">
        <f t="shared" ca="1" si="63"/>
        <v>4.1419247086499329</v>
      </c>
      <c r="F691" s="13">
        <f t="shared" ca="1" si="64"/>
        <v>0.81087752412741565</v>
      </c>
      <c r="G691" s="10">
        <f t="shared" ca="1" si="65"/>
        <v>5.6332175643864879</v>
      </c>
    </row>
    <row r="692" spans="1:7">
      <c r="A692" s="8">
        <v>687</v>
      </c>
      <c r="B692" s="9">
        <f t="shared" ca="1" si="60"/>
        <v>0.25302186937039228</v>
      </c>
      <c r="C692" s="10">
        <f t="shared" ca="1" si="61"/>
        <v>4.3757905581519507</v>
      </c>
      <c r="D692" s="9">
        <f t="shared" ca="1" si="62"/>
        <v>0.56762850232874862</v>
      </c>
      <c r="E692" s="10">
        <f t="shared" ca="1" si="63"/>
        <v>6.7808617231109078</v>
      </c>
      <c r="F692" s="9">
        <f t="shared" ca="1" si="64"/>
        <v>0.37925867500300836</v>
      </c>
      <c r="G692" s="10">
        <f t="shared" ca="1" si="65"/>
        <v>2.7608621063247227</v>
      </c>
    </row>
    <row r="693" spans="1:7">
      <c r="A693" s="8">
        <v>688</v>
      </c>
      <c r="B693" s="13">
        <f t="shared" ca="1" si="60"/>
        <v>0.37236847997647016</v>
      </c>
      <c r="C693" s="14">
        <f t="shared" ca="1" si="61"/>
        <v>6.9870305441232823</v>
      </c>
      <c r="D693" s="13">
        <f t="shared" ca="1" si="62"/>
        <v>0.87024312623326283</v>
      </c>
      <c r="E693" s="14">
        <f t="shared" ca="1" si="63"/>
        <v>9.1408597363360364</v>
      </c>
      <c r="F693" s="13">
        <f t="shared" ca="1" si="64"/>
        <v>0.5573525662676877</v>
      </c>
      <c r="G693" s="10">
        <f t="shared" ca="1" si="65"/>
        <v>3.6202975722407156</v>
      </c>
    </row>
    <row r="694" spans="1:7">
      <c r="A694" s="8">
        <v>689</v>
      </c>
      <c r="B694" s="9">
        <f t="shared" ca="1" si="60"/>
        <v>0.7206481109017373</v>
      </c>
      <c r="C694" s="10">
        <f t="shared" ca="1" si="61"/>
        <v>19.129245609325878</v>
      </c>
      <c r="D694" s="9">
        <f t="shared" ca="1" si="62"/>
        <v>0.97403670871463321</v>
      </c>
      <c r="E694" s="10">
        <f t="shared" ca="1" si="63"/>
        <v>10.721060067486317</v>
      </c>
      <c r="F694" s="9">
        <f t="shared" ca="1" si="64"/>
        <v>0.2026692738054493</v>
      </c>
      <c r="G694" s="10">
        <f t="shared" ca="1" si="65"/>
        <v>2.0152135411007754</v>
      </c>
    </row>
    <row r="695" spans="1:7">
      <c r="A695" s="8">
        <v>690</v>
      </c>
      <c r="B695" s="13">
        <f t="shared" ca="1" si="60"/>
        <v>0.75574675748546982</v>
      </c>
      <c r="C695" s="14">
        <f t="shared" ca="1" si="61"/>
        <v>21.143245691328335</v>
      </c>
      <c r="D695" s="13">
        <f t="shared" ca="1" si="62"/>
        <v>0.32128652466888663</v>
      </c>
      <c r="E695" s="14">
        <f t="shared" ca="1" si="63"/>
        <v>5.4609672775050173</v>
      </c>
      <c r="F695" s="13">
        <f t="shared" ca="1" si="64"/>
        <v>0.35505650248633103</v>
      </c>
      <c r="G695" s="10">
        <f t="shared" ca="1" si="65"/>
        <v>2.6564148299248274</v>
      </c>
    </row>
    <row r="696" spans="1:7">
      <c r="A696" s="8">
        <v>691</v>
      </c>
      <c r="B696" s="9">
        <f t="shared" ca="1" si="60"/>
        <v>0.86732434580402651</v>
      </c>
      <c r="C696" s="10">
        <f t="shared" ca="1" si="61"/>
        <v>30.297717291969469</v>
      </c>
      <c r="D696" s="9">
        <f t="shared" ca="1" si="62"/>
        <v>0.92192839484540567</v>
      </c>
      <c r="E696" s="10">
        <f t="shared" ca="1" si="63"/>
        <v>9.7822283425159746</v>
      </c>
      <c r="F696" s="9">
        <f t="shared" ca="1" si="64"/>
        <v>0.12020085041712103</v>
      </c>
      <c r="G696" s="10">
        <f t="shared" ca="1" si="65"/>
        <v>1.6414992467701901</v>
      </c>
    </row>
    <row r="697" spans="1:7">
      <c r="A697" s="8">
        <v>692</v>
      </c>
      <c r="B697" s="13">
        <f t="shared" ca="1" si="60"/>
        <v>0.30675923046598719</v>
      </c>
      <c r="C697" s="14">
        <f t="shared" ca="1" si="61"/>
        <v>5.495668640209832</v>
      </c>
      <c r="D697" s="13">
        <f t="shared" ca="1" si="62"/>
        <v>0.90162130903146409</v>
      </c>
      <c r="E697" s="14">
        <f t="shared" ca="1" si="63"/>
        <v>9.5104503356996943</v>
      </c>
      <c r="F697" s="13">
        <f t="shared" ca="1" si="64"/>
        <v>0.90288648961203921</v>
      </c>
      <c r="G697" s="10">
        <f t="shared" ca="1" si="65"/>
        <v>7.2348188721692477</v>
      </c>
    </row>
    <row r="698" spans="1:7">
      <c r="A698" s="8">
        <v>693</v>
      </c>
      <c r="B698" s="9">
        <f t="shared" ca="1" si="60"/>
        <v>0.13646475314124096</v>
      </c>
      <c r="C698" s="10">
        <f t="shared" ca="1" si="61"/>
        <v>2.2008084544675652</v>
      </c>
      <c r="D698" s="9">
        <f t="shared" ca="1" si="62"/>
        <v>6.8025461094739503E-3</v>
      </c>
      <c r="E698" s="10">
        <f t="shared" ca="1" si="63"/>
        <v>3.3499226056866447</v>
      </c>
      <c r="F698" s="9">
        <f t="shared" ca="1" si="64"/>
        <v>0.88172067698512735</v>
      </c>
      <c r="G698" s="10">
        <f t="shared" ca="1" si="65"/>
        <v>6.7543003028855901</v>
      </c>
    </row>
    <row r="699" spans="1:7">
      <c r="A699" s="8">
        <v>694</v>
      </c>
      <c r="B699" s="13">
        <f t="shared" ca="1" si="60"/>
        <v>0.3890169518341311</v>
      </c>
      <c r="C699" s="14">
        <f t="shared" ca="1" si="61"/>
        <v>7.3902909690720726</v>
      </c>
      <c r="D699" s="13">
        <f t="shared" ca="1" si="62"/>
        <v>8.9575852503558928E-2</v>
      </c>
      <c r="E699" s="14">
        <f t="shared" ca="1" si="63"/>
        <v>4.269789488483843</v>
      </c>
      <c r="F699" s="13">
        <f t="shared" ca="1" si="64"/>
        <v>0.44176213180152535</v>
      </c>
      <c r="G699" s="10">
        <f t="shared" ca="1" si="65"/>
        <v>3.0407316346456725</v>
      </c>
    </row>
    <row r="700" spans="1:7">
      <c r="A700" s="8">
        <v>695</v>
      </c>
      <c r="B700" s="9">
        <f t="shared" ca="1" si="60"/>
        <v>0.6082673769549074</v>
      </c>
      <c r="C700" s="10">
        <f t="shared" ca="1" si="61"/>
        <v>14.057636339782285</v>
      </c>
      <c r="D700" s="9">
        <f t="shared" ca="1" si="62"/>
        <v>0.35926506054653595</v>
      </c>
      <c r="E700" s="10">
        <f t="shared" ca="1" si="63"/>
        <v>5.6465520238560041</v>
      </c>
      <c r="F700" s="9">
        <f t="shared" ca="1" si="64"/>
        <v>0.62310762382248852</v>
      </c>
      <c r="G700" s="10">
        <f t="shared" ca="1" si="65"/>
        <v>4.0075964817960434</v>
      </c>
    </row>
    <row r="701" spans="1:7">
      <c r="A701" s="8">
        <v>696</v>
      </c>
      <c r="B701" s="13">
        <f t="shared" ca="1" si="60"/>
        <v>0.33676304310327987</v>
      </c>
      <c r="C701" s="14">
        <f t="shared" ca="1" si="61"/>
        <v>6.1593442739693502</v>
      </c>
      <c r="D701" s="13">
        <f t="shared" ca="1" si="62"/>
        <v>0.90700211281162857</v>
      </c>
      <c r="E701" s="14">
        <f t="shared" ca="1" si="63"/>
        <v>9.5794903650537968</v>
      </c>
      <c r="F701" s="13">
        <f t="shared" ca="1" si="64"/>
        <v>5.1125960751794097E-2</v>
      </c>
      <c r="G701" s="10">
        <f t="shared" ca="1" si="65"/>
        <v>1.2455537369244902</v>
      </c>
    </row>
    <row r="702" spans="1:7">
      <c r="A702" s="8">
        <v>697</v>
      </c>
      <c r="B702" s="9">
        <f t="shared" ca="1" si="60"/>
        <v>0.11941638939631705</v>
      </c>
      <c r="C702" s="10">
        <f t="shared" ca="1" si="61"/>
        <v>1.9075559618690228</v>
      </c>
      <c r="D702" s="9">
        <f t="shared" ca="1" si="62"/>
        <v>0.29550462067386696</v>
      </c>
      <c r="E702" s="10">
        <f t="shared" ca="1" si="63"/>
        <v>5.3379275823850145</v>
      </c>
      <c r="F702" s="9">
        <f t="shared" ca="1" si="64"/>
        <v>0.6676805674159183</v>
      </c>
      <c r="G702" s="10">
        <f t="shared" ca="1" si="65"/>
        <v>4.3064353283251293</v>
      </c>
    </row>
    <row r="703" spans="1:7">
      <c r="A703" s="8">
        <v>698</v>
      </c>
      <c r="B703" s="13">
        <f t="shared" ca="1" si="60"/>
        <v>6.563290286873058E-2</v>
      </c>
      <c r="C703" s="14">
        <f t="shared" ca="1" si="61"/>
        <v>1.0182882053784881</v>
      </c>
      <c r="D703" s="13">
        <f t="shared" ca="1" si="62"/>
        <v>0.65212459357497243</v>
      </c>
      <c r="E703" s="14">
        <f t="shared" ca="1" si="63"/>
        <v>7.3185311487977689</v>
      </c>
      <c r="F703" s="13">
        <f t="shared" ca="1" si="64"/>
        <v>0.52628026008913265</v>
      </c>
      <c r="G703" s="10">
        <f t="shared" ca="1" si="65"/>
        <v>3.4540710009186295</v>
      </c>
    </row>
    <row r="704" spans="1:7">
      <c r="A704" s="8">
        <v>699</v>
      </c>
      <c r="B704" s="9">
        <f t="shared" ca="1" si="60"/>
        <v>8.0082190239037399E-2</v>
      </c>
      <c r="C704" s="10">
        <f t="shared" ca="1" si="61"/>
        <v>1.252064252193043</v>
      </c>
      <c r="D704" s="9">
        <f t="shared" ca="1" si="62"/>
        <v>0.32398627983547779</v>
      </c>
      <c r="E704" s="10">
        <f t="shared" ca="1" si="63"/>
        <v>5.4739855677170848</v>
      </c>
      <c r="F704" s="9">
        <f t="shared" ca="1" si="64"/>
        <v>0.68427482552260643</v>
      </c>
      <c r="G704" s="10">
        <f t="shared" ca="1" si="65"/>
        <v>4.4273972488104061</v>
      </c>
    </row>
    <row r="705" spans="1:7">
      <c r="A705" s="8">
        <v>700</v>
      </c>
      <c r="B705" s="13">
        <f t="shared" ca="1" si="60"/>
        <v>0.12950906572812237</v>
      </c>
      <c r="C705" s="14">
        <f t="shared" ca="1" si="61"/>
        <v>2.080469013299894</v>
      </c>
      <c r="D705" s="13">
        <f t="shared" ca="1" si="62"/>
        <v>0.70977976055822345</v>
      </c>
      <c r="E705" s="14">
        <f t="shared" ca="1" si="63"/>
        <v>7.7240351866705081</v>
      </c>
      <c r="F705" s="13">
        <f t="shared" ca="1" si="64"/>
        <v>0.23714203061550587</v>
      </c>
      <c r="G705" s="10">
        <f t="shared" ca="1" si="65"/>
        <v>2.1612448623531759</v>
      </c>
    </row>
    <row r="706" spans="1:7">
      <c r="A706" s="8">
        <v>701</v>
      </c>
      <c r="B706" s="9">
        <f t="shared" ca="1" si="60"/>
        <v>0.72199848387659327</v>
      </c>
      <c r="C706" s="10">
        <f t="shared" ca="1" si="61"/>
        <v>19.201930674375781</v>
      </c>
      <c r="D706" s="9">
        <f t="shared" ca="1" si="62"/>
        <v>0.46092258748465365</v>
      </c>
      <c r="E706" s="10">
        <f t="shared" ca="1" si="63"/>
        <v>6.1723180432982776</v>
      </c>
      <c r="F706" s="9">
        <f t="shared" ca="1" si="64"/>
        <v>0.8444052257967759</v>
      </c>
      <c r="G706" s="10">
        <f t="shared" ca="1" si="65"/>
        <v>6.0960284929773856</v>
      </c>
    </row>
    <row r="707" spans="1:7">
      <c r="A707" s="8">
        <v>702</v>
      </c>
      <c r="B707" s="13">
        <f t="shared" ca="1" si="60"/>
        <v>0.79850020465555505</v>
      </c>
      <c r="C707" s="14">
        <f t="shared" ca="1" si="61"/>
        <v>24.02950369884357</v>
      </c>
      <c r="D707" s="13">
        <f t="shared" ca="1" si="62"/>
        <v>0.18699790467408084</v>
      </c>
      <c r="E707" s="14">
        <f t="shared" ca="1" si="63"/>
        <v>4.8346559034689465</v>
      </c>
      <c r="F707" s="13">
        <f t="shared" ca="1" si="64"/>
        <v>0.56597669939265971</v>
      </c>
      <c r="G707" s="10">
        <f t="shared" ca="1" si="65"/>
        <v>3.6681378422048252</v>
      </c>
    </row>
    <row r="708" spans="1:7">
      <c r="A708" s="8">
        <v>703</v>
      </c>
      <c r="B708" s="9">
        <f t="shared" ca="1" si="60"/>
        <v>0.97934399308003151</v>
      </c>
      <c r="C708" s="10">
        <f t="shared" ca="1" si="61"/>
        <v>58.196236648017191</v>
      </c>
      <c r="D708" s="9">
        <f t="shared" ca="1" si="62"/>
        <v>0.36352026078969812</v>
      </c>
      <c r="E708" s="10">
        <f t="shared" ca="1" si="63"/>
        <v>5.6676841858409324</v>
      </c>
      <c r="F708" s="9">
        <f t="shared" ca="1" si="64"/>
        <v>0.27410192292880065</v>
      </c>
      <c r="G708" s="10">
        <f t="shared" ca="1" si="65"/>
        <v>2.3157363702171638</v>
      </c>
    </row>
    <row r="709" spans="1:7">
      <c r="A709" s="8">
        <v>704</v>
      </c>
      <c r="B709" s="13">
        <f t="shared" ca="1" si="60"/>
        <v>0.34069937693805674</v>
      </c>
      <c r="C709" s="14">
        <f t="shared" ca="1" si="61"/>
        <v>6.2486350174165777</v>
      </c>
      <c r="D709" s="13">
        <f t="shared" ca="1" si="62"/>
        <v>8.8314309269643787E-2</v>
      </c>
      <c r="E709" s="14">
        <f t="shared" ca="1" si="63"/>
        <v>4.2608162304053625</v>
      </c>
      <c r="F709" s="13">
        <f t="shared" ca="1" si="64"/>
        <v>0.61023387151180541</v>
      </c>
      <c r="G709" s="10">
        <f t="shared" ca="1" si="65"/>
        <v>3.9273196938311412</v>
      </c>
    </row>
    <row r="710" spans="1:7">
      <c r="A710" s="8">
        <v>705</v>
      </c>
      <c r="B710" s="9">
        <f t="shared" ref="B710:B773" ca="1" si="66">RAND()</f>
        <v>0.13727860544894332</v>
      </c>
      <c r="C710" s="10">
        <f t="shared" ref="C710:C773" ca="1" si="67">-$J$6 * LN(1 - B710)</f>
        <v>2.2149521052170158</v>
      </c>
      <c r="D710" s="9">
        <f t="shared" ref="D710:D773" ca="1" si="68">RAND()</f>
        <v>5.552620683092413E-2</v>
      </c>
      <c r="E710" s="10">
        <f t="shared" ref="E710:E773" ca="1" si="69">IF(D710&lt;=$N$9, $N$6+SQRT(D710*($N$8-$N$6)*($N$7-$N$6)), $N$8-SQRT((1-D710)*($N$8-$N$6)*($N$8-$N$7)))</f>
        <v>3.9997358265845202</v>
      </c>
      <c r="F710" s="9">
        <f t="shared" ref="F710:F773" ca="1" si="70">RAND()</f>
        <v>0.31703230231690493</v>
      </c>
      <c r="G710" s="10">
        <f t="shared" ca="1" si="65"/>
        <v>2.4952570975272259</v>
      </c>
    </row>
    <row r="711" spans="1:7">
      <c r="A711" s="8">
        <v>706</v>
      </c>
      <c r="B711" s="13">
        <f t="shared" ca="1" si="66"/>
        <v>0.41097839074764964</v>
      </c>
      <c r="C711" s="14">
        <f t="shared" ca="1" si="67"/>
        <v>7.939386119534837</v>
      </c>
      <c r="D711" s="13">
        <f t="shared" ca="1" si="68"/>
        <v>3.9375855005667204E-2</v>
      </c>
      <c r="E711" s="14">
        <f t="shared" ca="1" si="69"/>
        <v>3.8418820523695763</v>
      </c>
      <c r="F711" s="13">
        <f t="shared" ca="1" si="70"/>
        <v>0.19965456706091733</v>
      </c>
      <c r="G711" s="10">
        <f t="shared" ref="G711:G774" ca="1" si="71">_xlfn.LOGNORM.INV(F711, $R$6, $R$7)</f>
        <v>2.0022800593473704</v>
      </c>
    </row>
    <row r="712" spans="1:7">
      <c r="A712" s="8">
        <v>707</v>
      </c>
      <c r="B712" s="9">
        <f t="shared" ca="1" si="66"/>
        <v>0.78060725446945223</v>
      </c>
      <c r="C712" s="10">
        <f t="shared" ca="1" si="67"/>
        <v>22.753376950892878</v>
      </c>
      <c r="D712" s="9">
        <f t="shared" ca="1" si="68"/>
        <v>0.2770166827806585</v>
      </c>
      <c r="E712" s="10">
        <f t="shared" ca="1" si="69"/>
        <v>5.2510779390469686</v>
      </c>
      <c r="F712" s="9">
        <f t="shared" ca="1" si="70"/>
        <v>0.36655692185813016</v>
      </c>
      <c r="G712" s="10">
        <f t="shared" ca="1" si="71"/>
        <v>2.7058285778539806</v>
      </c>
    </row>
    <row r="713" spans="1:7">
      <c r="A713" s="8">
        <v>708</v>
      </c>
      <c r="B713" s="13">
        <f t="shared" ca="1" si="66"/>
        <v>0.44295803708121673</v>
      </c>
      <c r="C713" s="14">
        <f t="shared" ca="1" si="67"/>
        <v>8.7767205677391011</v>
      </c>
      <c r="D713" s="13">
        <f t="shared" ca="1" si="68"/>
        <v>0.79452432338069989</v>
      </c>
      <c r="E713" s="14">
        <f t="shared" ca="1" si="69"/>
        <v>8.4020884353536562</v>
      </c>
      <c r="F713" s="13">
        <f t="shared" ca="1" si="70"/>
        <v>0.70560091715019868</v>
      </c>
      <c r="G713" s="10">
        <f t="shared" ca="1" si="71"/>
        <v>4.5921442778888464</v>
      </c>
    </row>
    <row r="714" spans="1:7">
      <c r="A714" s="8">
        <v>709</v>
      </c>
      <c r="B714" s="9">
        <f t="shared" ca="1" si="66"/>
        <v>0.97868078979120321</v>
      </c>
      <c r="C714" s="10">
        <f t="shared" ca="1" si="67"/>
        <v>57.722200874792961</v>
      </c>
      <c r="D714" s="9">
        <f t="shared" ca="1" si="68"/>
        <v>0.31375630683385958</v>
      </c>
      <c r="E714" s="10">
        <f t="shared" ca="1" si="69"/>
        <v>5.4247925759359621</v>
      </c>
      <c r="F714" s="9">
        <f t="shared" ca="1" si="70"/>
        <v>0.77337064303991965</v>
      </c>
      <c r="G714" s="10">
        <f t="shared" ca="1" si="71"/>
        <v>5.2069590304744251</v>
      </c>
    </row>
    <row r="715" spans="1:7">
      <c r="A715" s="8">
        <v>710</v>
      </c>
      <c r="B715" s="13">
        <f t="shared" ca="1" si="66"/>
        <v>0.31215985103921684</v>
      </c>
      <c r="C715" s="14">
        <f t="shared" ca="1" si="67"/>
        <v>5.6129821450658905</v>
      </c>
      <c r="D715" s="13">
        <f t="shared" ca="1" si="68"/>
        <v>0.99366050035712883</v>
      </c>
      <c r="E715" s="14">
        <f t="shared" ca="1" si="69"/>
        <v>11.368028103867836</v>
      </c>
      <c r="F715" s="13">
        <f t="shared" ca="1" si="70"/>
        <v>0.72957951791368492</v>
      </c>
      <c r="G715" s="10">
        <f t="shared" ca="1" si="71"/>
        <v>4.7918907936221693</v>
      </c>
    </row>
    <row r="716" spans="1:7">
      <c r="A716" s="8">
        <v>711</v>
      </c>
      <c r="B716" s="9">
        <f t="shared" ca="1" si="66"/>
        <v>0.61211735093145359</v>
      </c>
      <c r="C716" s="10">
        <f t="shared" ca="1" si="67"/>
        <v>14.205786539409143</v>
      </c>
      <c r="D716" s="9">
        <f t="shared" ca="1" si="68"/>
        <v>0.44950587600233505</v>
      </c>
      <c r="E716" s="10">
        <f t="shared" ca="1" si="69"/>
        <v>6.1109313289915788</v>
      </c>
      <c r="F716" s="9">
        <f t="shared" ca="1" si="70"/>
        <v>0.44511931134129534</v>
      </c>
      <c r="G716" s="10">
        <f t="shared" ca="1" si="71"/>
        <v>3.0562804499605338</v>
      </c>
    </row>
    <row r="717" spans="1:7">
      <c r="A717" s="8">
        <v>712</v>
      </c>
      <c r="B717" s="13">
        <f t="shared" ca="1" si="66"/>
        <v>0.96751171958553217</v>
      </c>
      <c r="C717" s="14">
        <f t="shared" ca="1" si="67"/>
        <v>51.403137859664518</v>
      </c>
      <c r="D717" s="13">
        <f t="shared" ca="1" si="68"/>
        <v>0.52789320279550278</v>
      </c>
      <c r="E717" s="14">
        <f t="shared" ca="1" si="69"/>
        <v>6.5463105860451378</v>
      </c>
      <c r="F717" s="13">
        <f t="shared" ca="1" si="70"/>
        <v>0.20597512059249656</v>
      </c>
      <c r="G717" s="10">
        <f t="shared" ca="1" si="71"/>
        <v>2.0293592914000871</v>
      </c>
    </row>
    <row r="718" spans="1:7">
      <c r="A718" s="8">
        <v>713</v>
      </c>
      <c r="B718" s="9">
        <f t="shared" ca="1" si="66"/>
        <v>0.83381241694540698</v>
      </c>
      <c r="C718" s="10">
        <f t="shared" ca="1" si="67"/>
        <v>26.919571653219641</v>
      </c>
      <c r="D718" s="9">
        <f t="shared" ca="1" si="68"/>
        <v>0.92315694360723755</v>
      </c>
      <c r="E718" s="10">
        <f t="shared" ca="1" si="69"/>
        <v>9.7997471616325473</v>
      </c>
      <c r="F718" s="9">
        <f t="shared" ca="1" si="70"/>
        <v>0.89006783552576607</v>
      </c>
      <c r="G718" s="10">
        <f t="shared" ca="1" si="71"/>
        <v>6.9318960449346942</v>
      </c>
    </row>
    <row r="719" spans="1:7">
      <c r="A719" s="8">
        <v>714</v>
      </c>
      <c r="B719" s="13">
        <f t="shared" ca="1" si="66"/>
        <v>0.16018418777531829</v>
      </c>
      <c r="C719" s="14">
        <f t="shared" ca="1" si="67"/>
        <v>2.6185902352396013</v>
      </c>
      <c r="D719" s="13">
        <f t="shared" ca="1" si="68"/>
        <v>0.87239388092576375</v>
      </c>
      <c r="E719" s="14">
        <f t="shared" ca="1" si="69"/>
        <v>9.1646542535914808</v>
      </c>
      <c r="F719" s="13">
        <f t="shared" ca="1" si="70"/>
        <v>0.24460325011361894</v>
      </c>
      <c r="G719" s="10">
        <f t="shared" ca="1" si="71"/>
        <v>2.1925322052167977</v>
      </c>
    </row>
    <row r="720" spans="1:7">
      <c r="A720" s="8">
        <v>715</v>
      </c>
      <c r="B720" s="9">
        <f t="shared" ca="1" si="66"/>
        <v>0.19390841910735379</v>
      </c>
      <c r="C720" s="10">
        <f t="shared" ca="1" si="67"/>
        <v>3.2333687849090045</v>
      </c>
      <c r="D720" s="9">
        <f t="shared" ca="1" si="68"/>
        <v>0.18902583097907155</v>
      </c>
      <c r="E720" s="10">
        <f t="shared" ca="1" si="69"/>
        <v>4.8445771758382161</v>
      </c>
      <c r="F720" s="9">
        <f t="shared" ca="1" si="70"/>
        <v>0.58046112825185603</v>
      </c>
      <c r="G720" s="10">
        <f t="shared" ca="1" si="71"/>
        <v>3.7503305307845523</v>
      </c>
    </row>
    <row r="721" spans="1:7">
      <c r="A721" s="8">
        <v>716</v>
      </c>
      <c r="B721" s="13">
        <f t="shared" ca="1" si="66"/>
        <v>0.39902477524692748</v>
      </c>
      <c r="C721" s="14">
        <f t="shared" ca="1" si="67"/>
        <v>7.6380235300384127</v>
      </c>
      <c r="D721" s="13">
        <f t="shared" ca="1" si="68"/>
        <v>5.6811993526021398E-2</v>
      </c>
      <c r="E721" s="14">
        <f t="shared" ca="1" si="69"/>
        <v>4.0112447198716961</v>
      </c>
      <c r="F721" s="13">
        <f t="shared" ca="1" si="70"/>
        <v>0.75616883647953381</v>
      </c>
      <c r="G721" s="10">
        <f t="shared" ca="1" si="71"/>
        <v>5.0350276722734231</v>
      </c>
    </row>
    <row r="722" spans="1:7">
      <c r="A722" s="8">
        <v>717</v>
      </c>
      <c r="B722" s="9">
        <f t="shared" ca="1" si="66"/>
        <v>0.33913052928404486</v>
      </c>
      <c r="C722" s="10">
        <f t="shared" ca="1" si="67"/>
        <v>6.212983966087851</v>
      </c>
      <c r="D722" s="9">
        <f t="shared" ca="1" si="68"/>
        <v>0.28352891266373348</v>
      </c>
      <c r="E722" s="10">
        <f t="shared" ca="1" si="69"/>
        <v>5.281541955017893</v>
      </c>
      <c r="F722" s="9">
        <f t="shared" ca="1" si="70"/>
        <v>0.46039172650696036</v>
      </c>
      <c r="G722" s="10">
        <f t="shared" ca="1" si="71"/>
        <v>3.1278062021874655</v>
      </c>
    </row>
    <row r="723" spans="1:7">
      <c r="A723" s="8">
        <v>718</v>
      </c>
      <c r="B723" s="13">
        <f t="shared" ca="1" si="66"/>
        <v>0.25108733154120533</v>
      </c>
      <c r="C723" s="14">
        <f t="shared" ca="1" si="67"/>
        <v>4.336993496718522</v>
      </c>
      <c r="D723" s="13">
        <f t="shared" ca="1" si="68"/>
        <v>0.50070806654229016</v>
      </c>
      <c r="E723" s="14">
        <f t="shared" ca="1" si="69"/>
        <v>6.3914893413816429</v>
      </c>
      <c r="F723" s="13">
        <f t="shared" ca="1" si="70"/>
        <v>0.31435806652523124</v>
      </c>
      <c r="G723" s="10">
        <f t="shared" ca="1" si="71"/>
        <v>2.4840224071408112</v>
      </c>
    </row>
    <row r="724" spans="1:7">
      <c r="A724" s="8">
        <v>719</v>
      </c>
      <c r="B724" s="9">
        <f t="shared" ca="1" si="66"/>
        <v>0.45884314600490794</v>
      </c>
      <c r="C724" s="10">
        <f t="shared" ca="1" si="67"/>
        <v>9.210691630661179</v>
      </c>
      <c r="D724" s="9">
        <f t="shared" ca="1" si="68"/>
        <v>0.80459243492110022</v>
      </c>
      <c r="E724" s="10">
        <f t="shared" ca="1" si="69"/>
        <v>8.4913426214617811</v>
      </c>
      <c r="F724" s="9">
        <f t="shared" ca="1" si="70"/>
        <v>0.58367424513326549</v>
      </c>
      <c r="G724" s="10">
        <f t="shared" ca="1" si="71"/>
        <v>3.7688928576686584</v>
      </c>
    </row>
    <row r="725" spans="1:7">
      <c r="A725" s="8">
        <v>720</v>
      </c>
      <c r="B725" s="13">
        <f t="shared" ca="1" si="66"/>
        <v>0.56543878235818423</v>
      </c>
      <c r="C725" s="14">
        <f t="shared" ca="1" si="67"/>
        <v>12.501276780674702</v>
      </c>
      <c r="D725" s="13">
        <f t="shared" ca="1" si="68"/>
        <v>0.35650451141643569</v>
      </c>
      <c r="E725" s="14">
        <f t="shared" ca="1" si="69"/>
        <v>5.6328801031577429</v>
      </c>
      <c r="F725" s="13">
        <f t="shared" ca="1" si="70"/>
        <v>0.34341488343785564</v>
      </c>
      <c r="G725" s="10">
        <f t="shared" ca="1" si="71"/>
        <v>2.6067477790600364</v>
      </c>
    </row>
    <row r="726" spans="1:7">
      <c r="A726" s="8">
        <v>721</v>
      </c>
      <c r="B726" s="9">
        <f t="shared" ca="1" si="66"/>
        <v>0.70439203965350772</v>
      </c>
      <c r="C726" s="10">
        <f t="shared" ca="1" si="67"/>
        <v>18.280817412255811</v>
      </c>
      <c r="D726" s="9">
        <f t="shared" ca="1" si="68"/>
        <v>0.74602990973615046</v>
      </c>
      <c r="E726" s="10">
        <f t="shared" ca="1" si="69"/>
        <v>7.9999855391983239</v>
      </c>
      <c r="F726" s="9">
        <f t="shared" ca="1" si="70"/>
        <v>0.3466850190549069</v>
      </c>
      <c r="G726" s="10">
        <f t="shared" ca="1" si="71"/>
        <v>2.6206660779227606</v>
      </c>
    </row>
    <row r="727" spans="1:7">
      <c r="A727" s="8">
        <v>722</v>
      </c>
      <c r="B727" s="13">
        <f t="shared" ca="1" si="66"/>
        <v>0.25323979422275422</v>
      </c>
      <c r="C727" s="14">
        <f t="shared" ca="1" si="67"/>
        <v>4.3801673257945142</v>
      </c>
      <c r="D727" s="13">
        <f t="shared" ca="1" si="68"/>
        <v>0.88028234362404378</v>
      </c>
      <c r="E727" s="14">
        <f t="shared" ca="1" si="69"/>
        <v>9.2536911405151017</v>
      </c>
      <c r="F727" s="13">
        <f t="shared" ca="1" si="70"/>
        <v>0.77035885034393425</v>
      </c>
      <c r="G727" s="10">
        <f t="shared" ca="1" si="71"/>
        <v>5.1759220517323934</v>
      </c>
    </row>
    <row r="728" spans="1:7">
      <c r="A728" s="8">
        <v>723</v>
      </c>
      <c r="B728" s="9">
        <f t="shared" ca="1" si="66"/>
        <v>0.45998598405175184</v>
      </c>
      <c r="C728" s="10">
        <f t="shared" ca="1" si="67"/>
        <v>9.2424027645140292</v>
      </c>
      <c r="D728" s="9">
        <f t="shared" ca="1" si="68"/>
        <v>0.76573542467372713</v>
      </c>
      <c r="E728" s="10">
        <f t="shared" ca="1" si="69"/>
        <v>8.158298782368</v>
      </c>
      <c r="F728" s="9">
        <f t="shared" ca="1" si="70"/>
        <v>0.93864961157450832</v>
      </c>
      <c r="G728" s="10">
        <f t="shared" ca="1" si="71"/>
        <v>8.3822938591353928</v>
      </c>
    </row>
    <row r="729" spans="1:7">
      <c r="A729" s="8">
        <v>724</v>
      </c>
      <c r="B729" s="13">
        <f t="shared" ca="1" si="66"/>
        <v>0.56424272133284969</v>
      </c>
      <c r="C729" s="14">
        <f t="shared" ca="1" si="67"/>
        <v>12.460048364294288</v>
      </c>
      <c r="D729" s="13">
        <f t="shared" ca="1" si="68"/>
        <v>0.40505838492625434</v>
      </c>
      <c r="E729" s="14">
        <f t="shared" ca="1" si="69"/>
        <v>5.8778009057491465</v>
      </c>
      <c r="F729" s="13">
        <f t="shared" ca="1" si="70"/>
        <v>0.30016419126373028</v>
      </c>
      <c r="G729" s="10">
        <f t="shared" ca="1" si="71"/>
        <v>2.4245428616648539</v>
      </c>
    </row>
    <row r="730" spans="1:7">
      <c r="A730" s="8">
        <v>725</v>
      </c>
      <c r="B730" s="9">
        <f t="shared" ca="1" si="66"/>
        <v>0.12506682376215572</v>
      </c>
      <c r="C730" s="10">
        <f t="shared" ca="1" si="67"/>
        <v>2.004116483321293</v>
      </c>
      <c r="D730" s="9">
        <f t="shared" ca="1" si="68"/>
        <v>0.17190814246122876</v>
      </c>
      <c r="E730" s="10">
        <f t="shared" ca="1" si="69"/>
        <v>4.7590754856748241</v>
      </c>
      <c r="F730" s="9">
        <f t="shared" ca="1" si="70"/>
        <v>0.62940724595611408</v>
      </c>
      <c r="G730" s="10">
        <f t="shared" ca="1" si="71"/>
        <v>4.0477869488449025</v>
      </c>
    </row>
    <row r="731" spans="1:7">
      <c r="A731" s="8">
        <v>726</v>
      </c>
      <c r="B731" s="13">
        <f t="shared" ca="1" si="66"/>
        <v>0.25367408024736326</v>
      </c>
      <c r="C731" s="14">
        <f t="shared" ca="1" si="67"/>
        <v>4.3888932665710811</v>
      </c>
      <c r="D731" s="13">
        <f t="shared" ca="1" si="68"/>
        <v>0.55764364386126286</v>
      </c>
      <c r="E731" s="14">
        <f t="shared" ca="1" si="69"/>
        <v>6.7209422775706988</v>
      </c>
      <c r="F731" s="13">
        <f t="shared" ca="1" si="70"/>
        <v>0.2104954250694504</v>
      </c>
      <c r="G731" s="10">
        <f t="shared" ca="1" si="71"/>
        <v>2.0486436760889015</v>
      </c>
    </row>
    <row r="732" spans="1:7">
      <c r="A732" s="8">
        <v>727</v>
      </c>
      <c r="B732" s="9">
        <f t="shared" ca="1" si="66"/>
        <v>1.304094330661365E-3</v>
      </c>
      <c r="C732" s="10">
        <f t="shared" ca="1" si="67"/>
        <v>1.9574181025070733E-2</v>
      </c>
      <c r="D732" s="9">
        <f t="shared" ca="1" si="68"/>
        <v>0.59677204237065284</v>
      </c>
      <c r="E732" s="10">
        <f t="shared" ca="1" si="69"/>
        <v>6.9598252678454813</v>
      </c>
      <c r="F732" s="9">
        <f t="shared" ca="1" si="70"/>
        <v>0.97062638036353377</v>
      </c>
      <c r="G732" s="10">
        <f t="shared" ca="1" si="71"/>
        <v>10.319631992737664</v>
      </c>
    </row>
    <row r="733" spans="1:7">
      <c r="A733" s="8">
        <v>728</v>
      </c>
      <c r="B733" s="13">
        <f t="shared" ca="1" si="66"/>
        <v>0.49055291806038204</v>
      </c>
      <c r="C733" s="14">
        <f t="shared" ca="1" si="67"/>
        <v>10.116439416635684</v>
      </c>
      <c r="D733" s="13">
        <f t="shared" ca="1" si="68"/>
        <v>0.56538346959448371</v>
      </c>
      <c r="E733" s="14">
        <f t="shared" ca="1" si="69"/>
        <v>6.7673294183994797</v>
      </c>
      <c r="F733" s="13">
        <f t="shared" ca="1" si="70"/>
        <v>0.76922722741747895</v>
      </c>
      <c r="G733" s="10">
        <f t="shared" ca="1" si="71"/>
        <v>5.1643671321434486</v>
      </c>
    </row>
    <row r="734" spans="1:7">
      <c r="A734" s="8">
        <v>729</v>
      </c>
      <c r="B734" s="9">
        <f t="shared" ca="1" si="66"/>
        <v>0.9732473772984398</v>
      </c>
      <c r="C734" s="10">
        <f t="shared" ca="1" si="67"/>
        <v>54.316841482921077</v>
      </c>
      <c r="D734" s="9">
        <f t="shared" ca="1" si="68"/>
        <v>0.74529819556940791</v>
      </c>
      <c r="E734" s="10">
        <f t="shared" ca="1" si="69"/>
        <v>7.9942274553929922</v>
      </c>
      <c r="F734" s="9">
        <f t="shared" ca="1" si="70"/>
        <v>0.86677444997559794</v>
      </c>
      <c r="G734" s="10">
        <f t="shared" ca="1" si="71"/>
        <v>6.4673307268622855</v>
      </c>
    </row>
    <row r="735" spans="1:7">
      <c r="A735" s="8">
        <v>730</v>
      </c>
      <c r="B735" s="13">
        <f t="shared" ca="1" si="66"/>
        <v>0.9413370302744194</v>
      </c>
      <c r="C735" s="14">
        <f t="shared" ca="1" si="67"/>
        <v>42.539198859583934</v>
      </c>
      <c r="D735" s="13">
        <f t="shared" ca="1" si="68"/>
        <v>0.89864949571902153</v>
      </c>
      <c r="E735" s="14">
        <f t="shared" ca="1" si="69"/>
        <v>9.4731280662246373</v>
      </c>
      <c r="F735" s="13">
        <f t="shared" ca="1" si="70"/>
        <v>0.89657120411072</v>
      </c>
      <c r="G735" s="10">
        <f t="shared" ca="1" si="71"/>
        <v>7.0805535209446981</v>
      </c>
    </row>
    <row r="736" spans="1:7">
      <c r="A736" s="8">
        <v>731</v>
      </c>
      <c r="B736" s="9">
        <f t="shared" ca="1" si="66"/>
        <v>0.57417754572022217</v>
      </c>
      <c r="C736" s="10">
        <f t="shared" ca="1" si="67"/>
        <v>12.805991903674759</v>
      </c>
      <c r="D736" s="9">
        <f t="shared" ca="1" si="68"/>
        <v>0.67974556445220202</v>
      </c>
      <c r="E736" s="10">
        <f t="shared" ca="1" si="69"/>
        <v>7.5082264705896762</v>
      </c>
      <c r="F736" s="9">
        <f t="shared" ca="1" si="70"/>
        <v>0.35592246949332318</v>
      </c>
      <c r="G736" s="10">
        <f t="shared" ca="1" si="71"/>
        <v>2.6601229692909336</v>
      </c>
    </row>
    <row r="737" spans="1:7">
      <c r="A737" s="8">
        <v>732</v>
      </c>
      <c r="B737" s="13">
        <f t="shared" ca="1" si="66"/>
        <v>0.40381198940270424</v>
      </c>
      <c r="C737" s="14">
        <f t="shared" ca="1" si="67"/>
        <v>7.7579881145945668</v>
      </c>
      <c r="D737" s="13">
        <f t="shared" ca="1" si="68"/>
        <v>5.6541452500112888E-2</v>
      </c>
      <c r="E737" s="14">
        <f t="shared" ca="1" si="69"/>
        <v>4.0088340522613377</v>
      </c>
      <c r="F737" s="13">
        <f t="shared" ca="1" si="70"/>
        <v>0.42962118835985175</v>
      </c>
      <c r="G737" s="10">
        <f t="shared" ca="1" si="71"/>
        <v>2.9849911950977557</v>
      </c>
    </row>
    <row r="738" spans="1:7">
      <c r="A738" s="8">
        <v>733</v>
      </c>
      <c r="B738" s="9">
        <f t="shared" ca="1" si="66"/>
        <v>0.16402274914059312</v>
      </c>
      <c r="C738" s="10">
        <f t="shared" ca="1" si="67"/>
        <v>2.687308172375209</v>
      </c>
      <c r="D738" s="9">
        <f t="shared" ca="1" si="68"/>
        <v>0.31889625548823097</v>
      </c>
      <c r="E738" s="10">
        <f t="shared" ca="1" si="69"/>
        <v>5.449462930091804</v>
      </c>
      <c r="F738" s="9">
        <f t="shared" ca="1" si="70"/>
        <v>0.58736649862415002</v>
      </c>
      <c r="G738" s="10">
        <f t="shared" ca="1" si="71"/>
        <v>3.7903769893018113</v>
      </c>
    </row>
    <row r="739" spans="1:7">
      <c r="A739" s="8">
        <v>734</v>
      </c>
      <c r="B739" s="13">
        <f t="shared" ca="1" si="66"/>
        <v>0.49532064909389373</v>
      </c>
      <c r="C739" s="14">
        <f t="shared" ca="1" si="67"/>
        <v>10.257480001092787</v>
      </c>
      <c r="D739" s="13">
        <f t="shared" ca="1" si="68"/>
        <v>0.36407732219347766</v>
      </c>
      <c r="E739" s="14">
        <f t="shared" ca="1" si="69"/>
        <v>5.6704558851516875</v>
      </c>
      <c r="F739" s="13">
        <f t="shared" ca="1" si="70"/>
        <v>0.5831306974897994</v>
      </c>
      <c r="G739" s="10">
        <f t="shared" ca="1" si="71"/>
        <v>3.7657440752479712</v>
      </c>
    </row>
    <row r="740" spans="1:7">
      <c r="A740" s="8">
        <v>735</v>
      </c>
      <c r="B740" s="9">
        <f t="shared" ca="1" si="66"/>
        <v>0.42923613922031745</v>
      </c>
      <c r="C740" s="10">
        <f t="shared" ca="1" si="67"/>
        <v>8.411695629959846</v>
      </c>
      <c r="D740" s="9">
        <f t="shared" ca="1" si="68"/>
        <v>7.5105268253198965E-2</v>
      </c>
      <c r="E740" s="10">
        <f t="shared" ca="1" si="69"/>
        <v>4.162710122325243</v>
      </c>
      <c r="F740" s="9">
        <f t="shared" ca="1" si="70"/>
        <v>0.31778959725094302</v>
      </c>
      <c r="G740" s="10">
        <f t="shared" ca="1" si="71"/>
        <v>2.4984404319982776</v>
      </c>
    </row>
    <row r="741" spans="1:7">
      <c r="A741" s="8">
        <v>736</v>
      </c>
      <c r="B741" s="13">
        <f t="shared" ca="1" si="66"/>
        <v>0.80766559609028077</v>
      </c>
      <c r="C741" s="14">
        <f t="shared" ca="1" si="67"/>
        <v>24.727796023538989</v>
      </c>
      <c r="D741" s="13">
        <f t="shared" ca="1" si="68"/>
        <v>0.40924263716369857</v>
      </c>
      <c r="E741" s="14">
        <f t="shared" ca="1" si="69"/>
        <v>5.8993677492667214</v>
      </c>
      <c r="F741" s="13">
        <f t="shared" ca="1" si="70"/>
        <v>0.2795744288762787</v>
      </c>
      <c r="G741" s="10">
        <f t="shared" ca="1" si="71"/>
        <v>2.3385621498635101</v>
      </c>
    </row>
    <row r="742" spans="1:7">
      <c r="A742" s="8">
        <v>737</v>
      </c>
      <c r="B742" s="9">
        <f t="shared" ca="1" si="66"/>
        <v>7.0389530950266677E-3</v>
      </c>
      <c r="C742" s="10">
        <f t="shared" ca="1" si="67"/>
        <v>0.10595765092858464</v>
      </c>
      <c r="D742" s="9">
        <f t="shared" ca="1" si="68"/>
        <v>8.1910555958290887E-2</v>
      </c>
      <c r="E742" s="10">
        <f t="shared" ca="1" si="69"/>
        <v>4.2142446241384954</v>
      </c>
      <c r="F742" s="9">
        <f t="shared" ca="1" si="70"/>
        <v>0.76501399146923077</v>
      </c>
      <c r="G742" s="10">
        <f t="shared" ca="1" si="71"/>
        <v>5.1218451228314859</v>
      </c>
    </row>
    <row r="743" spans="1:7">
      <c r="A743" s="8">
        <v>738</v>
      </c>
      <c r="B743" s="13">
        <f t="shared" ca="1" si="66"/>
        <v>0.51828023122289346</v>
      </c>
      <c r="C743" s="14">
        <f t="shared" ca="1" si="67"/>
        <v>10.955890898765318</v>
      </c>
      <c r="D743" s="13">
        <f t="shared" ca="1" si="68"/>
        <v>0.664944227701738</v>
      </c>
      <c r="E743" s="14">
        <f t="shared" ca="1" si="69"/>
        <v>7.4055997502622271</v>
      </c>
      <c r="F743" s="13">
        <f t="shared" ca="1" si="70"/>
        <v>0.88484562185276783</v>
      </c>
      <c r="G743" s="10">
        <f t="shared" ca="1" si="71"/>
        <v>6.819173904935238</v>
      </c>
    </row>
    <row r="744" spans="1:7">
      <c r="A744" s="8">
        <v>739</v>
      </c>
      <c r="B744" s="9">
        <f t="shared" ca="1" si="66"/>
        <v>0.73127185487151103</v>
      </c>
      <c r="C744" s="10">
        <f t="shared" ca="1" si="67"/>
        <v>19.710825349486285</v>
      </c>
      <c r="D744" s="9">
        <f t="shared" ca="1" si="68"/>
        <v>0.94875056771996946</v>
      </c>
      <c r="E744" s="10">
        <f t="shared" ca="1" si="69"/>
        <v>10.203137669813872</v>
      </c>
      <c r="F744" s="9">
        <f t="shared" ca="1" si="70"/>
        <v>0.39721348445310056</v>
      </c>
      <c r="G744" s="10">
        <f t="shared" ca="1" si="71"/>
        <v>2.839591519744836</v>
      </c>
    </row>
    <row r="745" spans="1:7">
      <c r="A745" s="8">
        <v>740</v>
      </c>
      <c r="B745" s="13">
        <f t="shared" ca="1" si="66"/>
        <v>0.56989930613719808</v>
      </c>
      <c r="C745" s="14">
        <f t="shared" ca="1" si="67"/>
        <v>12.656038889017518</v>
      </c>
      <c r="D745" s="13">
        <f t="shared" ca="1" si="68"/>
        <v>0.78467523166607756</v>
      </c>
      <c r="E745" s="14">
        <f t="shared" ca="1" si="69"/>
        <v>8.3168681254892434</v>
      </c>
      <c r="F745" s="13">
        <f t="shared" ca="1" si="70"/>
        <v>6.7818514829095511E-3</v>
      </c>
      <c r="G745" s="10">
        <f t="shared" ca="1" si="71"/>
        <v>0.75490070825552325</v>
      </c>
    </row>
    <row r="746" spans="1:7">
      <c r="A746" s="8">
        <v>741</v>
      </c>
      <c r="B746" s="9">
        <f t="shared" ca="1" si="66"/>
        <v>5.433482477337781E-2</v>
      </c>
      <c r="C746" s="10">
        <f t="shared" ca="1" si="67"/>
        <v>0.83800064960187071</v>
      </c>
      <c r="D746" s="9">
        <f t="shared" ca="1" si="68"/>
        <v>0.61580826282495249</v>
      </c>
      <c r="E746" s="10">
        <f t="shared" ca="1" si="69"/>
        <v>7.0802358347144327</v>
      </c>
      <c r="F746" s="9">
        <f t="shared" ca="1" si="70"/>
        <v>0.59401839680267943</v>
      </c>
      <c r="G746" s="10">
        <f t="shared" ca="1" si="71"/>
        <v>3.8295085520447598</v>
      </c>
    </row>
    <row r="747" spans="1:7">
      <c r="A747" s="8">
        <v>742</v>
      </c>
      <c r="B747" s="13">
        <f t="shared" ca="1" si="66"/>
        <v>6.026254873297443E-3</v>
      </c>
      <c r="C747" s="14">
        <f t="shared" ca="1" si="67"/>
        <v>9.0667290417295932E-2</v>
      </c>
      <c r="D747" s="13">
        <f t="shared" ca="1" si="68"/>
        <v>8.8759945710443655E-2</v>
      </c>
      <c r="E747" s="14">
        <f t="shared" ca="1" si="69"/>
        <v>4.2639932843128499</v>
      </c>
      <c r="F747" s="13">
        <f t="shared" ca="1" si="70"/>
        <v>0.632530550012813</v>
      </c>
      <c r="G747" s="10">
        <f t="shared" ca="1" si="71"/>
        <v>4.0679445512075354</v>
      </c>
    </row>
    <row r="748" spans="1:7">
      <c r="A748" s="8">
        <v>743</v>
      </c>
      <c r="B748" s="9">
        <f t="shared" ca="1" si="66"/>
        <v>0.77914535907473093</v>
      </c>
      <c r="C748" s="10">
        <f t="shared" ca="1" si="67"/>
        <v>22.653757908535429</v>
      </c>
      <c r="D748" s="9">
        <f t="shared" ca="1" si="68"/>
        <v>0.46732295771672949</v>
      </c>
      <c r="E748" s="10">
        <f t="shared" ca="1" si="69"/>
        <v>6.2070168596960302</v>
      </c>
      <c r="F748" s="9">
        <f t="shared" ca="1" si="70"/>
        <v>0.58595962986419514</v>
      </c>
      <c r="G748" s="10">
        <f t="shared" ca="1" si="71"/>
        <v>3.7821712332524053</v>
      </c>
    </row>
    <row r="749" spans="1:7">
      <c r="A749" s="8">
        <v>744</v>
      </c>
      <c r="B749" s="13">
        <f t="shared" ca="1" si="66"/>
        <v>0.38591126784214735</v>
      </c>
      <c r="C749" s="14">
        <f t="shared" ca="1" si="67"/>
        <v>7.3142376954179928</v>
      </c>
      <c r="D749" s="13">
        <f t="shared" ca="1" si="68"/>
        <v>0.18413780061393714</v>
      </c>
      <c r="E749" s="14">
        <f t="shared" ca="1" si="69"/>
        <v>4.8205714517839908</v>
      </c>
      <c r="F749" s="13">
        <f t="shared" ca="1" si="70"/>
        <v>0.23389084625521495</v>
      </c>
      <c r="G749" s="10">
        <f t="shared" ca="1" si="71"/>
        <v>2.1475853842883041</v>
      </c>
    </row>
    <row r="750" spans="1:7">
      <c r="A750" s="8">
        <v>745</v>
      </c>
      <c r="B750" s="9">
        <f t="shared" ca="1" si="66"/>
        <v>0.1745633421276731</v>
      </c>
      <c r="C750" s="10">
        <f t="shared" ca="1" si="67"/>
        <v>2.8776412559763691</v>
      </c>
      <c r="D750" s="9">
        <f t="shared" ca="1" si="68"/>
        <v>0.95845752454205957</v>
      </c>
      <c r="E750" s="10">
        <f t="shared" ca="1" si="69"/>
        <v>10.382231180344284</v>
      </c>
      <c r="F750" s="9">
        <f t="shared" ca="1" si="70"/>
        <v>0.33423669458955862</v>
      </c>
      <c r="G750" s="10">
        <f t="shared" ca="1" si="71"/>
        <v>2.5678103220302591</v>
      </c>
    </row>
    <row r="751" spans="1:7">
      <c r="A751" s="8">
        <v>746</v>
      </c>
      <c r="B751" s="13">
        <f t="shared" ca="1" si="66"/>
        <v>0.87647103071376764</v>
      </c>
      <c r="C751" s="14">
        <f t="shared" ca="1" si="67"/>
        <v>31.369193719527743</v>
      </c>
      <c r="D751" s="13">
        <f t="shared" ca="1" si="68"/>
        <v>0.29901118312141362</v>
      </c>
      <c r="E751" s="14">
        <f t="shared" ca="1" si="69"/>
        <v>5.3545281985888362</v>
      </c>
      <c r="F751" s="13">
        <f t="shared" ca="1" si="70"/>
        <v>0.99899336294743357</v>
      </c>
      <c r="G751" s="10">
        <f t="shared" ca="1" si="71"/>
        <v>21.177944326172227</v>
      </c>
    </row>
    <row r="752" spans="1:7">
      <c r="A752" s="8">
        <v>747</v>
      </c>
      <c r="B752" s="9">
        <f t="shared" ca="1" si="66"/>
        <v>8.9775770718333647E-2</v>
      </c>
      <c r="C752" s="10">
        <f t="shared" ca="1" si="67"/>
        <v>1.4109645603020475</v>
      </c>
      <c r="D752" s="9">
        <f t="shared" ca="1" si="68"/>
        <v>0.90995679166951104</v>
      </c>
      <c r="E752" s="10">
        <f t="shared" ca="1" si="69"/>
        <v>9.6182522961445294</v>
      </c>
      <c r="F752" s="9">
        <f t="shared" ca="1" si="70"/>
        <v>0.28729554312539374</v>
      </c>
      <c r="G752" s="10">
        <f t="shared" ca="1" si="71"/>
        <v>2.3707782546690006</v>
      </c>
    </row>
    <row r="753" spans="1:7">
      <c r="A753" s="8">
        <v>748</v>
      </c>
      <c r="B753" s="13">
        <f t="shared" ca="1" si="66"/>
        <v>0.49974038745194183</v>
      </c>
      <c r="C753" s="14">
        <f t="shared" ca="1" si="67"/>
        <v>10.389421353218058</v>
      </c>
      <c r="D753" s="13">
        <f t="shared" ca="1" si="68"/>
        <v>0.87865088704438199</v>
      </c>
      <c r="E753" s="14">
        <f t="shared" ca="1" si="69"/>
        <v>9.2350417514537515</v>
      </c>
      <c r="F753" s="13">
        <f t="shared" ca="1" si="70"/>
        <v>0.86652247968108331</v>
      </c>
      <c r="G753" s="10">
        <f t="shared" ca="1" si="71"/>
        <v>6.4627908754278875</v>
      </c>
    </row>
    <row r="754" spans="1:7">
      <c r="A754" s="8">
        <v>749</v>
      </c>
      <c r="B754" s="9">
        <f t="shared" ca="1" si="66"/>
        <v>0.2760626149720079</v>
      </c>
      <c r="C754" s="10">
        <f t="shared" ca="1" si="67"/>
        <v>4.8457556265661585</v>
      </c>
      <c r="D754" s="9">
        <f t="shared" ca="1" si="68"/>
        <v>0.59074014532683017</v>
      </c>
      <c r="E754" s="10">
        <f t="shared" ca="1" si="69"/>
        <v>6.9222671550770123</v>
      </c>
      <c r="F754" s="9">
        <f t="shared" ca="1" si="70"/>
        <v>6.8003257794586047E-2</v>
      </c>
      <c r="G754" s="10">
        <f t="shared" ca="1" si="71"/>
        <v>1.3573073853723767</v>
      </c>
    </row>
    <row r="755" spans="1:7">
      <c r="A755" s="8">
        <v>750</v>
      </c>
      <c r="B755" s="13">
        <f t="shared" ca="1" si="66"/>
        <v>0.39449407658258528</v>
      </c>
      <c r="C755" s="14">
        <f t="shared" ca="1" si="67"/>
        <v>7.5253640002367979</v>
      </c>
      <c r="D755" s="13">
        <f t="shared" ca="1" si="68"/>
        <v>0.80460532101021254</v>
      </c>
      <c r="E755" s="14">
        <f t="shared" ca="1" si="69"/>
        <v>8.4914583120110123</v>
      </c>
      <c r="F755" s="13">
        <f t="shared" ca="1" si="70"/>
        <v>0.36112968331847783</v>
      </c>
      <c r="G755" s="10">
        <f t="shared" ca="1" si="71"/>
        <v>2.6824632703330971</v>
      </c>
    </row>
    <row r="756" spans="1:7">
      <c r="A756" s="8">
        <v>751</v>
      </c>
      <c r="B756" s="9">
        <f t="shared" ca="1" si="66"/>
        <v>0.34029581347365367</v>
      </c>
      <c r="C756" s="10">
        <f t="shared" ca="1" si="67"/>
        <v>6.2394562000067646</v>
      </c>
      <c r="D756" s="9">
        <f t="shared" ca="1" si="68"/>
        <v>0.24095701214847032</v>
      </c>
      <c r="E756" s="10">
        <f t="shared" ca="1" si="69"/>
        <v>5.0848204481267176</v>
      </c>
      <c r="F756" s="9">
        <f t="shared" ca="1" si="70"/>
        <v>4.2858953011410295E-2</v>
      </c>
      <c r="G756" s="10">
        <f t="shared" ca="1" si="71"/>
        <v>1.184050268325531</v>
      </c>
    </row>
    <row r="757" spans="1:7">
      <c r="A757" s="8">
        <v>752</v>
      </c>
      <c r="B757" s="13">
        <f t="shared" ca="1" si="66"/>
        <v>0.1398781223036325</v>
      </c>
      <c r="C757" s="14">
        <f t="shared" ca="1" si="67"/>
        <v>2.2602177228611442</v>
      </c>
      <c r="D757" s="13">
        <f t="shared" ca="1" si="68"/>
        <v>0.50601103251802193</v>
      </c>
      <c r="E757" s="14">
        <f t="shared" ca="1" si="69"/>
        <v>6.4213527669008661</v>
      </c>
      <c r="F757" s="13">
        <f t="shared" ca="1" si="70"/>
        <v>0.9027502993400397</v>
      </c>
      <c r="G757" s="10">
        <f t="shared" ca="1" si="71"/>
        <v>7.2313798273211711</v>
      </c>
    </row>
    <row r="758" spans="1:7">
      <c r="A758" s="8">
        <v>753</v>
      </c>
      <c r="B758" s="9">
        <f t="shared" ca="1" si="66"/>
        <v>0.8682185533558231</v>
      </c>
      <c r="C758" s="10">
        <f t="shared" ca="1" si="67"/>
        <v>30.399156537523986</v>
      </c>
      <c r="D758" s="9">
        <f t="shared" ca="1" si="68"/>
        <v>0.27860100339392879</v>
      </c>
      <c r="E758" s="10">
        <f t="shared" ca="1" si="69"/>
        <v>5.258476671687438</v>
      </c>
      <c r="F758" s="9">
        <f t="shared" ca="1" si="70"/>
        <v>0.95923016921721105</v>
      </c>
      <c r="G758" s="10">
        <f t="shared" ca="1" si="71"/>
        <v>9.4412933173909206</v>
      </c>
    </row>
    <row r="759" spans="1:7">
      <c r="A759" s="8">
        <v>754</v>
      </c>
      <c r="B759" s="13">
        <f t="shared" ca="1" si="66"/>
        <v>0.28423465355487709</v>
      </c>
      <c r="C759" s="14">
        <f t="shared" ca="1" si="67"/>
        <v>5.0160434124718263</v>
      </c>
      <c r="D759" s="13">
        <f t="shared" ca="1" si="68"/>
        <v>0.14514047129397034</v>
      </c>
      <c r="E759" s="14">
        <f t="shared" ca="1" si="69"/>
        <v>4.6163317986389636</v>
      </c>
      <c r="F759" s="13">
        <f t="shared" ca="1" si="70"/>
        <v>0.63791686281668325</v>
      </c>
      <c r="G759" s="10">
        <f t="shared" ca="1" si="71"/>
        <v>4.1030791675168405</v>
      </c>
    </row>
    <row r="760" spans="1:7">
      <c r="A760" s="8">
        <v>755</v>
      </c>
      <c r="B760" s="9">
        <f t="shared" ca="1" si="66"/>
        <v>0.18969639535115157</v>
      </c>
      <c r="C760" s="10">
        <f t="shared" ca="1" si="67"/>
        <v>3.1551942148379202</v>
      </c>
      <c r="D760" s="9">
        <f t="shared" ca="1" si="68"/>
        <v>0.78111199891179905</v>
      </c>
      <c r="E760" s="10">
        <f t="shared" ca="1" si="69"/>
        <v>8.2865186053304836</v>
      </c>
      <c r="F760" s="9">
        <f t="shared" ca="1" si="70"/>
        <v>0.19836916483661415</v>
      </c>
      <c r="G760" s="10">
        <f t="shared" ca="1" si="71"/>
        <v>1.9967553178879629</v>
      </c>
    </row>
    <row r="761" spans="1:7">
      <c r="A761" s="8">
        <v>756</v>
      </c>
      <c r="B761" s="13">
        <f t="shared" ca="1" si="66"/>
        <v>0.52939514612164973</v>
      </c>
      <c r="C761" s="14">
        <f t="shared" ca="1" si="67"/>
        <v>11.306047327626416</v>
      </c>
      <c r="D761" s="13">
        <f t="shared" ca="1" si="68"/>
        <v>0.66091156295033959</v>
      </c>
      <c r="E761" s="14">
        <f t="shared" ca="1" si="69"/>
        <v>7.3780338021434426</v>
      </c>
      <c r="F761" s="13">
        <f t="shared" ca="1" si="70"/>
        <v>0.46384324152964485</v>
      </c>
      <c r="G761" s="10">
        <f t="shared" ca="1" si="71"/>
        <v>3.1441588807611294</v>
      </c>
    </row>
    <row r="762" spans="1:7">
      <c r="A762" s="8">
        <v>757</v>
      </c>
      <c r="B762" s="9">
        <f t="shared" ca="1" si="66"/>
        <v>0.56397449774928354</v>
      </c>
      <c r="C762" s="10">
        <f t="shared" ca="1" si="67"/>
        <v>12.450818189143982</v>
      </c>
      <c r="D762" s="9">
        <f t="shared" ca="1" si="68"/>
        <v>0.40787505632076471</v>
      </c>
      <c r="E762" s="10">
        <f t="shared" ca="1" si="69"/>
        <v>5.8923104653402838</v>
      </c>
      <c r="F762" s="9">
        <f t="shared" ca="1" si="70"/>
        <v>0.46858951698158913</v>
      </c>
      <c r="G762" s="10">
        <f t="shared" ca="1" si="71"/>
        <v>3.1667646216367968</v>
      </c>
    </row>
    <row r="763" spans="1:7">
      <c r="A763" s="8">
        <v>758</v>
      </c>
      <c r="B763" s="13">
        <f t="shared" ca="1" si="66"/>
        <v>0.72453523963717958</v>
      </c>
      <c r="C763" s="14">
        <f t="shared" ca="1" si="67"/>
        <v>19.339433552088902</v>
      </c>
      <c r="D763" s="13">
        <f t="shared" ca="1" si="68"/>
        <v>0.55692707313524781</v>
      </c>
      <c r="E763" s="14">
        <f t="shared" ca="1" si="69"/>
        <v>6.716668248871799</v>
      </c>
      <c r="F763" s="13">
        <f t="shared" ca="1" si="70"/>
        <v>0.87788914333978585</v>
      </c>
      <c r="G763" s="10">
        <f t="shared" ca="1" si="71"/>
        <v>6.6772057561697302</v>
      </c>
    </row>
    <row r="764" spans="1:7">
      <c r="A764" s="8">
        <v>759</v>
      </c>
      <c r="B764" s="9">
        <f t="shared" ca="1" si="66"/>
        <v>0.81533020999044792</v>
      </c>
      <c r="C764" s="10">
        <f t="shared" ca="1" si="67"/>
        <v>25.337789514552991</v>
      </c>
      <c r="D764" s="9">
        <f t="shared" ca="1" si="68"/>
        <v>0.47090528377546481</v>
      </c>
      <c r="E764" s="10">
        <f t="shared" ca="1" si="69"/>
        <v>6.2265290230100128</v>
      </c>
      <c r="F764" s="9">
        <f t="shared" ca="1" si="70"/>
        <v>0.58321841457306778</v>
      </c>
      <c r="G764" s="10">
        <f t="shared" ca="1" si="71"/>
        <v>3.7662519815602642</v>
      </c>
    </row>
    <row r="765" spans="1:7">
      <c r="A765" s="8">
        <v>760</v>
      </c>
      <c r="B765" s="13">
        <f t="shared" ca="1" si="66"/>
        <v>0.69651934405771443</v>
      </c>
      <c r="C765" s="14">
        <f t="shared" ca="1" si="67"/>
        <v>17.886561106688653</v>
      </c>
      <c r="D765" s="13">
        <f t="shared" ca="1" si="68"/>
        <v>2.2069165064477647E-2</v>
      </c>
      <c r="E765" s="14">
        <f t="shared" ca="1" si="69"/>
        <v>3.6302737271698682</v>
      </c>
      <c r="F765" s="13">
        <f t="shared" ca="1" si="70"/>
        <v>0.56867895899361987</v>
      </c>
      <c r="G765" s="10">
        <f t="shared" ca="1" si="71"/>
        <v>3.6832927964871516</v>
      </c>
    </row>
    <row r="766" spans="1:7">
      <c r="A766" s="8">
        <v>761</v>
      </c>
      <c r="B766" s="9">
        <f t="shared" ca="1" si="66"/>
        <v>0.2051104384319512</v>
      </c>
      <c r="C766" s="10">
        <f t="shared" ca="1" si="67"/>
        <v>3.4432813536625302</v>
      </c>
      <c r="D766" s="9">
        <f t="shared" ca="1" si="68"/>
        <v>0.98332100589692628</v>
      </c>
      <c r="E766" s="10">
        <f t="shared" ca="1" si="69"/>
        <v>10.974926037549658</v>
      </c>
      <c r="F766" s="9">
        <f t="shared" ca="1" si="70"/>
        <v>0.69525981185592101</v>
      </c>
      <c r="G766" s="10">
        <f t="shared" ca="1" si="71"/>
        <v>4.5108661935908518</v>
      </c>
    </row>
    <row r="767" spans="1:7">
      <c r="A767" s="8">
        <v>762</v>
      </c>
      <c r="B767" s="13">
        <f t="shared" ca="1" si="66"/>
        <v>0.57290025491745455</v>
      </c>
      <c r="C767" s="14">
        <f t="shared" ca="1" si="67"/>
        <v>12.76106546987244</v>
      </c>
      <c r="D767" s="13">
        <f t="shared" ca="1" si="68"/>
        <v>9.4718163186648163E-2</v>
      </c>
      <c r="E767" s="14">
        <f t="shared" ca="1" si="69"/>
        <v>4.3057285082894019</v>
      </c>
      <c r="F767" s="13">
        <f t="shared" ca="1" si="70"/>
        <v>0.65659311643416141</v>
      </c>
      <c r="G767" s="10">
        <f t="shared" ca="1" si="71"/>
        <v>4.2287636441280405</v>
      </c>
    </row>
    <row r="768" spans="1:7">
      <c r="A768" s="8">
        <v>763</v>
      </c>
      <c r="B768" s="9">
        <f t="shared" ca="1" si="66"/>
        <v>0.59435257417284182</v>
      </c>
      <c r="C768" s="10">
        <f t="shared" ca="1" si="67"/>
        <v>13.534063589383644</v>
      </c>
      <c r="D768" s="9">
        <f t="shared" ca="1" si="68"/>
        <v>0.32089531632022639</v>
      </c>
      <c r="E768" s="10">
        <f t="shared" ca="1" si="69"/>
        <v>5.4590830098658385</v>
      </c>
      <c r="F768" s="9">
        <f t="shared" ca="1" si="70"/>
        <v>0.64377952629039881</v>
      </c>
      <c r="G768" s="10">
        <f t="shared" ca="1" si="71"/>
        <v>4.141872107845967</v>
      </c>
    </row>
    <row r="769" spans="1:7">
      <c r="A769" s="8">
        <v>764</v>
      </c>
      <c r="B769" s="13">
        <f t="shared" ca="1" si="66"/>
        <v>0.563573391612748</v>
      </c>
      <c r="C769" s="14">
        <f t="shared" ca="1" si="67"/>
        <v>12.437025816133309</v>
      </c>
      <c r="D769" s="13">
        <f t="shared" ca="1" si="68"/>
        <v>0.72515482929525388</v>
      </c>
      <c r="E769" s="14">
        <f t="shared" ca="1" si="69"/>
        <v>7.8388408160226541</v>
      </c>
      <c r="F769" s="13">
        <f t="shared" ca="1" si="70"/>
        <v>0.56567871386138135</v>
      </c>
      <c r="G769" s="10">
        <f t="shared" ca="1" si="71"/>
        <v>3.6664715548703972</v>
      </c>
    </row>
    <row r="770" spans="1:7">
      <c r="A770" s="8">
        <v>765</v>
      </c>
      <c r="B770" s="9">
        <f t="shared" ca="1" si="66"/>
        <v>0.19837096617963113</v>
      </c>
      <c r="C770" s="10">
        <f t="shared" ca="1" si="67"/>
        <v>3.3166399420750436</v>
      </c>
      <c r="D770" s="9">
        <f t="shared" ca="1" si="68"/>
        <v>0.55471382541008096</v>
      </c>
      <c r="E770" s="10">
        <f t="shared" ca="1" si="69"/>
        <v>6.7034889786610563</v>
      </c>
      <c r="F770" s="9">
        <f t="shared" ca="1" si="70"/>
        <v>3.4156190057111013E-2</v>
      </c>
      <c r="G770" s="10">
        <f t="shared" ca="1" si="71"/>
        <v>1.1120838627689635</v>
      </c>
    </row>
    <row r="771" spans="1:7">
      <c r="A771" s="8">
        <v>766</v>
      </c>
      <c r="B771" s="13">
        <f t="shared" ca="1" si="66"/>
        <v>0.62593026553708164</v>
      </c>
      <c r="C771" s="14">
        <f t="shared" ca="1" si="67"/>
        <v>14.7496956474768</v>
      </c>
      <c r="D771" s="13">
        <f t="shared" ca="1" si="68"/>
        <v>0.83285082750601924</v>
      </c>
      <c r="E771" s="14">
        <f t="shared" ca="1" si="69"/>
        <v>8.7549425479476035</v>
      </c>
      <c r="F771" s="13">
        <f t="shared" ca="1" si="70"/>
        <v>0.58716782932013445</v>
      </c>
      <c r="G771" s="10">
        <f t="shared" ca="1" si="71"/>
        <v>3.7892167498666063</v>
      </c>
    </row>
    <row r="772" spans="1:7">
      <c r="A772" s="8">
        <v>767</v>
      </c>
      <c r="B772" s="9">
        <f t="shared" ca="1" si="66"/>
        <v>0.43922207040901717</v>
      </c>
      <c r="C772" s="10">
        <f t="shared" ca="1" si="67"/>
        <v>8.6764544888868045</v>
      </c>
      <c r="D772" s="9">
        <f t="shared" ca="1" si="68"/>
        <v>0.31114423073299646</v>
      </c>
      <c r="E772" s="10">
        <f t="shared" ca="1" si="69"/>
        <v>5.4122907271327447</v>
      </c>
      <c r="F772" s="9">
        <f t="shared" ca="1" si="70"/>
        <v>0.32226588620551544</v>
      </c>
      <c r="G772" s="10">
        <f t="shared" ca="1" si="71"/>
        <v>2.5172746545306572</v>
      </c>
    </row>
    <row r="773" spans="1:7">
      <c r="A773" s="8">
        <v>768</v>
      </c>
      <c r="B773" s="13">
        <f t="shared" ca="1" si="66"/>
        <v>0.77004063028491909</v>
      </c>
      <c r="C773" s="14">
        <f t="shared" ca="1" si="67"/>
        <v>22.04778958615028</v>
      </c>
      <c r="D773" s="13">
        <f t="shared" ca="1" si="68"/>
        <v>0.78297623909758873</v>
      </c>
      <c r="E773" s="14">
        <f t="shared" ca="1" si="69"/>
        <v>8.302366035306914</v>
      </c>
      <c r="F773" s="13">
        <f t="shared" ca="1" si="70"/>
        <v>0.14356842555342142</v>
      </c>
      <c r="G773" s="10">
        <f t="shared" ca="1" si="71"/>
        <v>1.7530302201324377</v>
      </c>
    </row>
    <row r="774" spans="1:7">
      <c r="A774" s="8">
        <v>769</v>
      </c>
      <c r="B774" s="9">
        <f t="shared" ref="B774:B837" ca="1" si="72">RAND()</f>
        <v>0.30884308977847086</v>
      </c>
      <c r="C774" s="10">
        <f t="shared" ref="C774:C837" ca="1" si="73">-$J$6 * LN(1 - B774)</f>
        <v>5.5408260595728791</v>
      </c>
      <c r="D774" s="9">
        <f t="shared" ref="D774:D837" ca="1" si="74">RAND()</f>
        <v>0.36625498591483885</v>
      </c>
      <c r="E774" s="10">
        <f t="shared" ref="E774:E837" ca="1" si="75">IF(D774&lt;=$N$9, $N$6+SQRT(D774*($N$8-$N$6)*($N$7-$N$6)), $N$8-SQRT((1-D774)*($N$8-$N$6)*($N$8-$N$7)))</f>
        <v>5.6813026748098503</v>
      </c>
      <c r="F774" s="9">
        <f t="shared" ref="F774:F837" ca="1" si="76">RAND()</f>
        <v>0.50217885236047277</v>
      </c>
      <c r="G774" s="10">
        <f t="shared" ca="1" si="71"/>
        <v>3.3310146592290875</v>
      </c>
    </row>
    <row r="775" spans="1:7">
      <c r="A775" s="8">
        <v>770</v>
      </c>
      <c r="B775" s="13">
        <f t="shared" ca="1" si="72"/>
        <v>0.30733738599632232</v>
      </c>
      <c r="C775" s="14">
        <f t="shared" ca="1" si="73"/>
        <v>5.508183702314625</v>
      </c>
      <c r="D775" s="13">
        <f t="shared" ca="1" si="74"/>
        <v>0.55104726414765803</v>
      </c>
      <c r="E775" s="14">
        <f t="shared" ca="1" si="75"/>
        <v>6.6817275024029144</v>
      </c>
      <c r="F775" s="13">
        <f t="shared" ca="1" si="76"/>
        <v>0.3296275758387045</v>
      </c>
      <c r="G775" s="10">
        <f t="shared" ref="G775:G838" ca="1" si="77">_xlfn.LOGNORM.INV(F775, $R$6, $R$7)</f>
        <v>2.5483215754379236</v>
      </c>
    </row>
    <row r="776" spans="1:7">
      <c r="A776" s="8">
        <v>771</v>
      </c>
      <c r="B776" s="9">
        <f t="shared" ca="1" si="72"/>
        <v>0.49609615870995372</v>
      </c>
      <c r="C776" s="10">
        <f t="shared" ca="1" si="73"/>
        <v>10.280547303073231</v>
      </c>
      <c r="D776" s="9">
        <f t="shared" ca="1" si="74"/>
        <v>0.76254051841300463</v>
      </c>
      <c r="E776" s="10">
        <f t="shared" ca="1" si="75"/>
        <v>8.1321908863051799</v>
      </c>
      <c r="F776" s="9">
        <f t="shared" ca="1" si="76"/>
        <v>1.3827761820924822E-3</v>
      </c>
      <c r="G776" s="10">
        <f t="shared" ca="1" si="77"/>
        <v>0.55123304799040806</v>
      </c>
    </row>
    <row r="777" spans="1:7">
      <c r="A777" s="8">
        <v>772</v>
      </c>
      <c r="B777" s="13">
        <f t="shared" ca="1" si="72"/>
        <v>0.79185823176742054</v>
      </c>
      <c r="C777" s="14">
        <f t="shared" ca="1" si="73"/>
        <v>23.543037801125951</v>
      </c>
      <c r="D777" s="13">
        <f t="shared" ca="1" si="74"/>
        <v>4.3673327596591038E-2</v>
      </c>
      <c r="E777" s="14">
        <f t="shared" ca="1" si="75"/>
        <v>3.8866340263821586</v>
      </c>
      <c r="F777" s="13">
        <f t="shared" ca="1" si="76"/>
        <v>0.66192258259260761</v>
      </c>
      <c r="G777" s="10">
        <f t="shared" ca="1" si="77"/>
        <v>4.2657991996913678</v>
      </c>
    </row>
    <row r="778" spans="1:7">
      <c r="A778" s="8">
        <v>773</v>
      </c>
      <c r="B778" s="9">
        <f t="shared" ca="1" si="72"/>
        <v>2.2206661085373391E-2</v>
      </c>
      <c r="C778" s="10">
        <f t="shared" ca="1" si="73"/>
        <v>0.33685411769471585</v>
      </c>
      <c r="D778" s="9">
        <f t="shared" ca="1" si="74"/>
        <v>0.68447687752950881</v>
      </c>
      <c r="E778" s="10">
        <f t="shared" ca="1" si="75"/>
        <v>7.5415297785405198</v>
      </c>
      <c r="F778" s="9">
        <f t="shared" ca="1" si="76"/>
        <v>0.65545476728682983</v>
      </c>
      <c r="G778" s="10">
        <f t="shared" ca="1" si="77"/>
        <v>4.220922928950575</v>
      </c>
    </row>
    <row r="779" spans="1:7">
      <c r="A779" s="8">
        <v>774</v>
      </c>
      <c r="B779" s="13">
        <f t="shared" ca="1" si="72"/>
        <v>0.52620426504018181</v>
      </c>
      <c r="C779" s="14">
        <f t="shared" ca="1" si="73"/>
        <v>11.204684836068777</v>
      </c>
      <c r="D779" s="13">
        <f t="shared" ca="1" si="74"/>
        <v>0.61446688327940757</v>
      </c>
      <c r="E779" s="14">
        <f t="shared" ca="1" si="75"/>
        <v>7.0716548057793958</v>
      </c>
      <c r="F779" s="13">
        <f t="shared" ca="1" si="76"/>
        <v>0.67995438341742753</v>
      </c>
      <c r="G779" s="10">
        <f t="shared" ca="1" si="77"/>
        <v>4.3953305826541715</v>
      </c>
    </row>
    <row r="780" spans="1:7">
      <c r="A780" s="8">
        <v>775</v>
      </c>
      <c r="B780" s="9">
        <f t="shared" ca="1" si="72"/>
        <v>0.65192880453690361</v>
      </c>
      <c r="C780" s="10">
        <f t="shared" ca="1" si="73"/>
        <v>15.830223532022718</v>
      </c>
      <c r="D780" s="9">
        <f t="shared" ca="1" si="74"/>
        <v>0.88922196238887941</v>
      </c>
      <c r="E780" s="10">
        <f t="shared" ca="1" si="75"/>
        <v>9.3582171986515252</v>
      </c>
      <c r="F780" s="9">
        <f t="shared" ca="1" si="76"/>
        <v>0.17569866661497646</v>
      </c>
      <c r="G780" s="10">
        <f t="shared" ca="1" si="77"/>
        <v>1.8981326625273405</v>
      </c>
    </row>
    <row r="781" spans="1:7">
      <c r="A781" s="8">
        <v>776</v>
      </c>
      <c r="B781" s="13">
        <f t="shared" ca="1" si="72"/>
        <v>0.46520431141658192</v>
      </c>
      <c r="C781" s="14">
        <f t="shared" ca="1" si="73"/>
        <v>9.3880574328474165</v>
      </c>
      <c r="D781" s="13">
        <f t="shared" ca="1" si="74"/>
        <v>0.7662568622050242</v>
      </c>
      <c r="E781" s="14">
        <f t="shared" ca="1" si="75"/>
        <v>8.1625766872700272</v>
      </c>
      <c r="F781" s="13">
        <f t="shared" ca="1" si="76"/>
        <v>0.51132905995024469</v>
      </c>
      <c r="G781" s="10">
        <f t="shared" ca="1" si="77"/>
        <v>3.3771796426889402</v>
      </c>
    </row>
    <row r="782" spans="1:7">
      <c r="A782" s="8">
        <v>777</v>
      </c>
      <c r="B782" s="9">
        <f t="shared" ca="1" si="72"/>
        <v>0.33642016138414477</v>
      </c>
      <c r="C782" s="10">
        <f t="shared" ca="1" si="73"/>
        <v>6.1515915444004827</v>
      </c>
      <c r="D782" s="9">
        <f t="shared" ca="1" si="74"/>
        <v>1.5252969525751503E-2</v>
      </c>
      <c r="E782" s="10">
        <f t="shared" ca="1" si="75"/>
        <v>3.523978483779179</v>
      </c>
      <c r="F782" s="9">
        <f t="shared" ca="1" si="76"/>
        <v>0.76159431900196506</v>
      </c>
      <c r="G782" s="10">
        <f t="shared" ca="1" si="77"/>
        <v>5.0878953056891767</v>
      </c>
    </row>
    <row r="783" spans="1:7">
      <c r="A783" s="8">
        <v>778</v>
      </c>
      <c r="B783" s="13">
        <f t="shared" ca="1" si="72"/>
        <v>8.0300156959656421E-2</v>
      </c>
      <c r="C783" s="14">
        <f t="shared" ca="1" si="73"/>
        <v>1.2556187960620977</v>
      </c>
      <c r="D783" s="13">
        <f t="shared" ca="1" si="74"/>
        <v>0.21985473586673265</v>
      </c>
      <c r="E783" s="14">
        <f t="shared" ca="1" si="75"/>
        <v>4.9893177839654452</v>
      </c>
      <c r="F783" s="13">
        <f t="shared" ca="1" si="76"/>
        <v>0.38226774799029484</v>
      </c>
      <c r="G783" s="10">
        <f t="shared" ca="1" si="77"/>
        <v>2.7739765018405089</v>
      </c>
    </row>
    <row r="784" spans="1:7">
      <c r="A784" s="8">
        <v>779</v>
      </c>
      <c r="B784" s="9">
        <f t="shared" ca="1" si="72"/>
        <v>0.74405823910099167</v>
      </c>
      <c r="C784" s="10">
        <f t="shared" ca="1" si="73"/>
        <v>20.442080353081121</v>
      </c>
      <c r="D784" s="9">
        <f t="shared" ca="1" si="74"/>
        <v>0.23873418797050161</v>
      </c>
      <c r="E784" s="10">
        <f t="shared" ca="1" si="75"/>
        <v>5.0747024498684246</v>
      </c>
      <c r="F784" s="9">
        <f t="shared" ca="1" si="76"/>
        <v>1.5566752293108221E-2</v>
      </c>
      <c r="G784" s="10">
        <f t="shared" ca="1" si="77"/>
        <v>0.91099551987356131</v>
      </c>
    </row>
    <row r="785" spans="1:7">
      <c r="A785" s="8">
        <v>780</v>
      </c>
      <c r="B785" s="13">
        <f t="shared" ca="1" si="72"/>
        <v>0.37747091883122341</v>
      </c>
      <c r="C785" s="14">
        <f t="shared" ca="1" si="73"/>
        <v>7.1094740249621502</v>
      </c>
      <c r="D785" s="13">
        <f t="shared" ca="1" si="74"/>
        <v>0.80672797234247884</v>
      </c>
      <c r="E785" s="14">
        <f t="shared" ca="1" si="75"/>
        <v>8.5105677048517148</v>
      </c>
      <c r="F785" s="13">
        <f t="shared" ca="1" si="76"/>
        <v>0.96395965700865505</v>
      </c>
      <c r="G785" s="10">
        <f t="shared" ca="1" si="77"/>
        <v>9.76851926084308</v>
      </c>
    </row>
    <row r="786" spans="1:7">
      <c r="A786" s="8">
        <v>781</v>
      </c>
      <c r="B786" s="9">
        <f t="shared" ca="1" si="72"/>
        <v>0.48515190500384653</v>
      </c>
      <c r="C786" s="10">
        <f t="shared" ca="1" si="73"/>
        <v>9.9582507450078168</v>
      </c>
      <c r="D786" s="9">
        <f t="shared" ca="1" si="74"/>
        <v>0.58956737936776116</v>
      </c>
      <c r="E786" s="10">
        <f t="shared" ca="1" si="75"/>
        <v>6.9149970403321248</v>
      </c>
      <c r="F786" s="9">
        <f t="shared" ca="1" si="76"/>
        <v>0.50595386639650997</v>
      </c>
      <c r="G786" s="10">
        <f t="shared" ca="1" si="77"/>
        <v>3.3499814561440302</v>
      </c>
    </row>
    <row r="787" spans="1:7">
      <c r="A787" s="8">
        <v>782</v>
      </c>
      <c r="B787" s="13">
        <f t="shared" ca="1" si="72"/>
        <v>0.64760115386695771</v>
      </c>
      <c r="C787" s="14">
        <f t="shared" ca="1" si="73"/>
        <v>15.64487488853694</v>
      </c>
      <c r="D787" s="13">
        <f t="shared" ca="1" si="74"/>
        <v>0.6917465606686346</v>
      </c>
      <c r="E787" s="14">
        <f t="shared" ca="1" si="75"/>
        <v>7.5931908734464093</v>
      </c>
      <c r="F787" s="13">
        <f t="shared" ca="1" si="76"/>
        <v>0.67114939500420268</v>
      </c>
      <c r="G787" s="10">
        <f t="shared" ca="1" si="77"/>
        <v>4.3312384856085844</v>
      </c>
    </row>
    <row r="788" spans="1:7">
      <c r="A788" s="8">
        <v>783</v>
      </c>
      <c r="B788" s="9">
        <f t="shared" ca="1" si="72"/>
        <v>0.63866004238660257</v>
      </c>
      <c r="C788" s="10">
        <f t="shared" ca="1" si="73"/>
        <v>15.269040794104411</v>
      </c>
      <c r="D788" s="9">
        <f t="shared" ca="1" si="74"/>
        <v>0.19341831148604827</v>
      </c>
      <c r="E788" s="10">
        <f t="shared" ca="1" si="75"/>
        <v>4.8658857432192546</v>
      </c>
      <c r="F788" s="9">
        <f t="shared" ca="1" si="76"/>
        <v>0.10325915367700511</v>
      </c>
      <c r="G788" s="10">
        <f t="shared" ca="1" si="77"/>
        <v>1.5559427947334767</v>
      </c>
    </row>
    <row r="789" spans="1:7">
      <c r="A789" s="8">
        <v>784</v>
      </c>
      <c r="B789" s="13">
        <f t="shared" ca="1" si="72"/>
        <v>0.48865870771886422</v>
      </c>
      <c r="C789" s="14">
        <f t="shared" ca="1" si="73"/>
        <v>10.060770311358194</v>
      </c>
      <c r="D789" s="13">
        <f t="shared" ca="1" si="74"/>
        <v>0.79995397290495351</v>
      </c>
      <c r="E789" s="14">
        <f t="shared" ca="1" si="75"/>
        <v>8.4499437036875129</v>
      </c>
      <c r="F789" s="13">
        <f t="shared" ca="1" si="76"/>
        <v>0.2375203374935666</v>
      </c>
      <c r="G789" s="10">
        <f t="shared" ca="1" si="77"/>
        <v>2.1628331651005461</v>
      </c>
    </row>
    <row r="790" spans="1:7">
      <c r="A790" s="8">
        <v>785</v>
      </c>
      <c r="B790" s="9">
        <f t="shared" ca="1" si="72"/>
        <v>0.56221569221919887</v>
      </c>
      <c r="C790" s="10">
        <f t="shared" ca="1" si="73"/>
        <v>12.390434068305932</v>
      </c>
      <c r="D790" s="9">
        <f t="shared" ca="1" si="74"/>
        <v>0.41426776273480037</v>
      </c>
      <c r="E790" s="10">
        <f t="shared" ca="1" si="75"/>
        <v>5.9253698921080327</v>
      </c>
      <c r="F790" s="9">
        <f t="shared" ca="1" si="76"/>
        <v>0.92486709582725857</v>
      </c>
      <c r="G790" s="10">
        <f t="shared" ca="1" si="77"/>
        <v>7.8707702728272961</v>
      </c>
    </row>
    <row r="791" spans="1:7">
      <c r="A791" s="8">
        <v>786</v>
      </c>
      <c r="B791" s="13">
        <f t="shared" ca="1" si="72"/>
        <v>0.7282097850420155</v>
      </c>
      <c r="C791" s="14">
        <f t="shared" ca="1" si="73"/>
        <v>19.540871682053385</v>
      </c>
      <c r="D791" s="13">
        <f t="shared" ca="1" si="74"/>
        <v>0.86526120255214145</v>
      </c>
      <c r="E791" s="14">
        <f t="shared" ca="1" si="75"/>
        <v>9.0864893617467111</v>
      </c>
      <c r="F791" s="13">
        <f t="shared" ca="1" si="76"/>
        <v>0.36084751711483265</v>
      </c>
      <c r="G791" s="10">
        <f t="shared" ca="1" si="77"/>
        <v>2.6812507920190609</v>
      </c>
    </row>
    <row r="792" spans="1:7">
      <c r="A792" s="8">
        <v>787</v>
      </c>
      <c r="B792" s="9">
        <f t="shared" ca="1" si="72"/>
        <v>0.94629157606215797</v>
      </c>
      <c r="C792" s="10">
        <f t="shared" ca="1" si="73"/>
        <v>43.862781291289636</v>
      </c>
      <c r="D792" s="9">
        <f t="shared" ca="1" si="74"/>
        <v>0.52304951319210868</v>
      </c>
      <c r="E792" s="10">
        <f t="shared" ca="1" si="75"/>
        <v>6.5184052804957249</v>
      </c>
      <c r="F792" s="9">
        <f t="shared" ca="1" si="76"/>
        <v>0.91895991636984553</v>
      </c>
      <c r="G792" s="10">
        <f t="shared" ca="1" si="77"/>
        <v>7.6818909974033449</v>
      </c>
    </row>
    <row r="793" spans="1:7">
      <c r="A793" s="8">
        <v>788</v>
      </c>
      <c r="B793" s="13">
        <f t="shared" ca="1" si="72"/>
        <v>0.49423186548307052</v>
      </c>
      <c r="C793" s="14">
        <f t="shared" ca="1" si="73"/>
        <v>10.225154203426527</v>
      </c>
      <c r="D793" s="13">
        <f t="shared" ca="1" si="74"/>
        <v>0.27347314419491764</v>
      </c>
      <c r="E793" s="14">
        <f t="shared" ca="1" si="75"/>
        <v>5.2345590006474678</v>
      </c>
      <c r="F793" s="13">
        <f t="shared" ca="1" si="76"/>
        <v>0.6340810200661372</v>
      </c>
      <c r="G793" s="10">
        <f t="shared" ca="1" si="77"/>
        <v>4.0780094817278094</v>
      </c>
    </row>
    <row r="794" spans="1:7">
      <c r="A794" s="8">
        <v>789</v>
      </c>
      <c r="B794" s="9">
        <f t="shared" ca="1" si="72"/>
        <v>3.7535593303374637E-2</v>
      </c>
      <c r="C794" s="10">
        <f t="shared" ca="1" si="73"/>
        <v>0.57387290339146557</v>
      </c>
      <c r="D794" s="9">
        <f t="shared" ca="1" si="74"/>
        <v>0.83776742333935361</v>
      </c>
      <c r="E794" s="10">
        <f t="shared" ca="1" si="75"/>
        <v>8.803024502811958</v>
      </c>
      <c r="F794" s="9">
        <f t="shared" ca="1" si="76"/>
        <v>0.94253075956296073</v>
      </c>
      <c r="G794" s="10">
        <f t="shared" ca="1" si="77"/>
        <v>8.549111940496541</v>
      </c>
    </row>
    <row r="795" spans="1:7">
      <c r="A795" s="8">
        <v>790</v>
      </c>
      <c r="B795" s="13">
        <f t="shared" ca="1" si="72"/>
        <v>5.5059068227480634E-2</v>
      </c>
      <c r="C795" s="14">
        <f t="shared" ca="1" si="73"/>
        <v>0.84949289254208393</v>
      </c>
      <c r="D795" s="13">
        <f t="shared" ca="1" si="74"/>
        <v>0.65636996508183676</v>
      </c>
      <c r="E795" s="14">
        <f t="shared" ca="1" si="75"/>
        <v>7.3471844868032559</v>
      </c>
      <c r="F795" s="13">
        <f t="shared" ca="1" si="76"/>
        <v>0.1601185158834918</v>
      </c>
      <c r="G795" s="10">
        <f t="shared" ca="1" si="77"/>
        <v>1.8287221718520945</v>
      </c>
    </row>
    <row r="796" spans="1:7">
      <c r="A796" s="8">
        <v>791</v>
      </c>
      <c r="B796" s="9">
        <f t="shared" ca="1" si="72"/>
        <v>0.86397857014540447</v>
      </c>
      <c r="C796" s="10">
        <f t="shared" ca="1" si="73"/>
        <v>29.924142497985898</v>
      </c>
      <c r="D796" s="9">
        <f t="shared" ca="1" si="74"/>
        <v>0.31110436486865412</v>
      </c>
      <c r="E796" s="10">
        <f t="shared" ca="1" si="75"/>
        <v>5.4121001060068625</v>
      </c>
      <c r="F796" s="9">
        <f t="shared" ca="1" si="76"/>
        <v>0.75530217358122376</v>
      </c>
      <c r="G796" s="10">
        <f t="shared" ca="1" si="77"/>
        <v>5.0266925236746118</v>
      </c>
    </row>
    <row r="797" spans="1:7">
      <c r="A797" s="8">
        <v>792</v>
      </c>
      <c r="B797" s="13">
        <f t="shared" ca="1" si="72"/>
        <v>0.75568516016900456</v>
      </c>
      <c r="C797" s="14">
        <f t="shared" ca="1" si="73"/>
        <v>21.139463374041298</v>
      </c>
      <c r="D797" s="13">
        <f t="shared" ca="1" si="74"/>
        <v>0.28370682033323225</v>
      </c>
      <c r="E797" s="14">
        <f t="shared" ca="1" si="75"/>
        <v>5.2823761404045273</v>
      </c>
      <c r="F797" s="13">
        <f t="shared" ca="1" si="76"/>
        <v>0.41615369226787036</v>
      </c>
      <c r="G797" s="10">
        <f t="shared" ca="1" si="77"/>
        <v>2.924004499909834</v>
      </c>
    </row>
    <row r="798" spans="1:7">
      <c r="A798" s="8">
        <v>793</v>
      </c>
      <c r="B798" s="9">
        <f t="shared" ca="1" si="72"/>
        <v>0.88970663940964312</v>
      </c>
      <c r="C798" s="10">
        <f t="shared" ca="1" si="73"/>
        <v>33.069173229572449</v>
      </c>
      <c r="D798" s="9">
        <f t="shared" ca="1" si="74"/>
        <v>0.45323377220614169</v>
      </c>
      <c r="E798" s="10">
        <f t="shared" ca="1" si="75"/>
        <v>6.1309053210045183</v>
      </c>
      <c r="F798" s="9">
        <f t="shared" ca="1" si="76"/>
        <v>1.4185549959177979E-2</v>
      </c>
      <c r="G798" s="10">
        <f t="shared" ca="1" si="77"/>
        <v>0.89112562838116416</v>
      </c>
    </row>
    <row r="799" spans="1:7">
      <c r="A799" s="8">
        <v>794</v>
      </c>
      <c r="B799" s="13">
        <f t="shared" ca="1" si="72"/>
        <v>0.16550774222183995</v>
      </c>
      <c r="C799" s="14">
        <f t="shared" ca="1" si="73"/>
        <v>2.7139772040111705</v>
      </c>
      <c r="D799" s="13">
        <f t="shared" ca="1" si="74"/>
        <v>0.99291798777081952</v>
      </c>
      <c r="E799" s="14">
        <f t="shared" ca="1" si="75"/>
        <v>11.332042837871791</v>
      </c>
      <c r="F799" s="13">
        <f t="shared" ca="1" si="76"/>
        <v>0.10074783975548696</v>
      </c>
      <c r="G799" s="10">
        <f t="shared" ca="1" si="77"/>
        <v>1.5428307121123479</v>
      </c>
    </row>
    <row r="800" spans="1:7">
      <c r="A800" s="8">
        <v>795</v>
      </c>
      <c r="B800" s="9">
        <f t="shared" ca="1" si="72"/>
        <v>0.53036837902413547</v>
      </c>
      <c r="C800" s="10">
        <f t="shared" ca="1" si="73"/>
        <v>11.337100151339206</v>
      </c>
      <c r="D800" s="9">
        <f t="shared" ca="1" si="74"/>
        <v>0.41545168099363938</v>
      </c>
      <c r="E800" s="10">
        <f t="shared" ca="1" si="75"/>
        <v>5.9315122067025037</v>
      </c>
      <c r="F800" s="9">
        <f t="shared" ca="1" si="76"/>
        <v>0.89837478140908178</v>
      </c>
      <c r="G800" s="10">
        <f t="shared" ca="1" si="77"/>
        <v>7.1235572789798889</v>
      </c>
    </row>
    <row r="801" spans="1:7">
      <c r="A801" s="8">
        <v>796</v>
      </c>
      <c r="B801" s="13">
        <f t="shared" ca="1" si="72"/>
        <v>0.69410933940299224</v>
      </c>
      <c r="C801" s="14">
        <f t="shared" ca="1" si="73"/>
        <v>17.767913387903807</v>
      </c>
      <c r="D801" s="13">
        <f t="shared" ca="1" si="74"/>
        <v>0.31065947687538276</v>
      </c>
      <c r="E801" s="14">
        <f t="shared" ca="1" si="75"/>
        <v>5.4099732203236925</v>
      </c>
      <c r="F801" s="13">
        <f t="shared" ca="1" si="76"/>
        <v>8.506585689304702E-2</v>
      </c>
      <c r="G801" s="10">
        <f t="shared" ca="1" si="77"/>
        <v>1.4578045534159765</v>
      </c>
    </row>
    <row r="802" spans="1:7">
      <c r="A802" s="8">
        <v>797</v>
      </c>
      <c r="B802" s="9">
        <f t="shared" ca="1" si="72"/>
        <v>0.71767800910028068</v>
      </c>
      <c r="C802" s="10">
        <f t="shared" ca="1" si="73"/>
        <v>18.970605715711347</v>
      </c>
      <c r="D802" s="9">
        <f t="shared" ca="1" si="74"/>
        <v>0.6299596326107646</v>
      </c>
      <c r="E802" s="10">
        <f t="shared" ca="1" si="75"/>
        <v>7.1716935530641983</v>
      </c>
      <c r="F802" s="9">
        <f t="shared" ca="1" si="76"/>
        <v>0.43370478027407156</v>
      </c>
      <c r="G802" s="10">
        <f t="shared" ca="1" si="77"/>
        <v>3.003655747756826</v>
      </c>
    </row>
    <row r="803" spans="1:7">
      <c r="A803" s="8">
        <v>798</v>
      </c>
      <c r="B803" s="13">
        <f t="shared" ca="1" si="72"/>
        <v>0.64132194136226273</v>
      </c>
      <c r="C803" s="14">
        <f t="shared" ca="1" si="73"/>
        <v>15.379950981476888</v>
      </c>
      <c r="D803" s="13">
        <f t="shared" ca="1" si="74"/>
        <v>0.45285599089629036</v>
      </c>
      <c r="E803" s="14">
        <f t="shared" ca="1" si="75"/>
        <v>6.128878082211739</v>
      </c>
      <c r="F803" s="13">
        <f t="shared" ca="1" si="76"/>
        <v>0.5106455571006846</v>
      </c>
      <c r="G803" s="10">
        <f t="shared" ca="1" si="77"/>
        <v>3.3737084622200331</v>
      </c>
    </row>
    <row r="804" spans="1:7">
      <c r="A804" s="8">
        <v>799</v>
      </c>
      <c r="B804" s="9">
        <f t="shared" ca="1" si="72"/>
        <v>0.55265547979384178</v>
      </c>
      <c r="C804" s="10">
        <f t="shared" ca="1" si="73"/>
        <v>12.066393637783307</v>
      </c>
      <c r="D804" s="9">
        <f t="shared" ca="1" si="74"/>
        <v>0.88561853645041633</v>
      </c>
      <c r="E804" s="10">
        <f t="shared" ca="1" si="75"/>
        <v>9.3155946275527288</v>
      </c>
      <c r="F804" s="9">
        <f t="shared" ca="1" si="76"/>
        <v>0.26493903091884741</v>
      </c>
      <c r="G804" s="10">
        <f t="shared" ca="1" si="77"/>
        <v>2.2775144631318098</v>
      </c>
    </row>
    <row r="805" spans="1:7">
      <c r="A805" s="8">
        <v>800</v>
      </c>
      <c r="B805" s="13">
        <f t="shared" ca="1" si="72"/>
        <v>0.916241147634549</v>
      </c>
      <c r="C805" s="14">
        <f t="shared" ca="1" si="73"/>
        <v>37.197201209652277</v>
      </c>
      <c r="D805" s="13">
        <f t="shared" ca="1" si="74"/>
        <v>0.63844183320037695</v>
      </c>
      <c r="E805" s="14">
        <f t="shared" ca="1" si="75"/>
        <v>7.2273524634249124</v>
      </c>
      <c r="F805" s="13">
        <f t="shared" ca="1" si="76"/>
        <v>0.148454907787824</v>
      </c>
      <c r="G805" s="10">
        <f t="shared" ca="1" si="77"/>
        <v>1.7756208758413849</v>
      </c>
    </row>
    <row r="806" spans="1:7">
      <c r="A806" s="8">
        <v>801</v>
      </c>
      <c r="B806" s="9">
        <f t="shared" ca="1" si="72"/>
        <v>0.87742154854314103</v>
      </c>
      <c r="C806" s="10">
        <f t="shared" ca="1" si="73"/>
        <v>31.485060508841649</v>
      </c>
      <c r="D806" s="9">
        <f t="shared" ca="1" si="74"/>
        <v>0.69200971619189278</v>
      </c>
      <c r="E806" s="10">
        <f t="shared" ca="1" si="75"/>
        <v>7.5950723184244273</v>
      </c>
      <c r="F806" s="9">
        <f t="shared" ca="1" si="76"/>
        <v>0.76758434080328708</v>
      </c>
      <c r="G806" s="10">
        <f t="shared" ca="1" si="77"/>
        <v>5.1476935460805109</v>
      </c>
    </row>
    <row r="807" spans="1:7">
      <c r="A807" s="8">
        <v>802</v>
      </c>
      <c r="B807" s="13">
        <f t="shared" ca="1" si="72"/>
        <v>0.72515800315789491</v>
      </c>
      <c r="C807" s="14">
        <f t="shared" ca="1" si="73"/>
        <v>19.373383550616801</v>
      </c>
      <c r="D807" s="13">
        <f t="shared" ca="1" si="74"/>
        <v>0.22202861238764493</v>
      </c>
      <c r="E807" s="14">
        <f t="shared" ca="1" si="75"/>
        <v>4.9991285658950524</v>
      </c>
      <c r="F807" s="13">
        <f t="shared" ca="1" si="76"/>
        <v>0.82047911775095839</v>
      </c>
      <c r="G807" s="10">
        <f t="shared" ca="1" si="77"/>
        <v>5.7564186169079621</v>
      </c>
    </row>
    <row r="808" spans="1:7">
      <c r="A808" s="8">
        <v>803</v>
      </c>
      <c r="B808" s="9">
        <f t="shared" ca="1" si="72"/>
        <v>0.89226011048466458</v>
      </c>
      <c r="C808" s="10">
        <f t="shared" ca="1" si="73"/>
        <v>33.420530808077466</v>
      </c>
      <c r="D808" s="9">
        <f t="shared" ca="1" si="74"/>
        <v>0.3265566960277082</v>
      </c>
      <c r="E808" s="10">
        <f t="shared" ca="1" si="75"/>
        <v>5.4864043608576392</v>
      </c>
      <c r="F808" s="9">
        <f t="shared" ca="1" si="76"/>
        <v>0.8192626630982196</v>
      </c>
      <c r="G808" s="10">
        <f t="shared" ca="1" si="77"/>
        <v>5.7404363776996421</v>
      </c>
    </row>
    <row r="809" spans="1:7">
      <c r="A809" s="8">
        <v>804</v>
      </c>
      <c r="B809" s="13">
        <f t="shared" ca="1" si="72"/>
        <v>0.5351051465938137</v>
      </c>
      <c r="C809" s="14">
        <f t="shared" ca="1" si="73"/>
        <v>11.489160310069121</v>
      </c>
      <c r="D809" s="13">
        <f t="shared" ca="1" si="74"/>
        <v>8.6463262222450377E-3</v>
      </c>
      <c r="E809" s="14">
        <f t="shared" ca="1" si="75"/>
        <v>3.3945045905948508</v>
      </c>
      <c r="F809" s="13">
        <f t="shared" ca="1" si="76"/>
        <v>0.88732326233511194</v>
      </c>
      <c r="G809" s="10">
        <f t="shared" ca="1" si="77"/>
        <v>6.8719584316966147</v>
      </c>
    </row>
    <row r="810" spans="1:7">
      <c r="A810" s="8">
        <v>805</v>
      </c>
      <c r="B810" s="9">
        <f t="shared" ca="1" si="72"/>
        <v>0.80051214590714626</v>
      </c>
      <c r="C810" s="10">
        <f t="shared" ca="1" si="73"/>
        <v>24.180028893685034</v>
      </c>
      <c r="D810" s="9">
        <f t="shared" ca="1" si="74"/>
        <v>0.75591469186634475</v>
      </c>
      <c r="E810" s="10">
        <f t="shared" ca="1" si="75"/>
        <v>8.0786004523358912</v>
      </c>
      <c r="F810" s="9">
        <f t="shared" ca="1" si="76"/>
        <v>0.14763509209602321</v>
      </c>
      <c r="G810" s="10">
        <f t="shared" ca="1" si="77"/>
        <v>1.7718459300319023</v>
      </c>
    </row>
    <row r="811" spans="1:7">
      <c r="A811" s="8">
        <v>806</v>
      </c>
      <c r="B811" s="13">
        <f t="shared" ca="1" si="72"/>
        <v>0.86910301225431186</v>
      </c>
      <c r="C811" s="14">
        <f t="shared" ca="1" si="73"/>
        <v>30.500169273076501</v>
      </c>
      <c r="D811" s="13">
        <f t="shared" ca="1" si="74"/>
        <v>0.69365820395625866</v>
      </c>
      <c r="E811" s="14">
        <f t="shared" ca="1" si="75"/>
        <v>7.6068766064728273</v>
      </c>
      <c r="F811" s="13">
        <f t="shared" ca="1" si="76"/>
        <v>0.27383586716075015</v>
      </c>
      <c r="G811" s="10">
        <f t="shared" ca="1" si="77"/>
        <v>2.3146266987875621</v>
      </c>
    </row>
    <row r="812" spans="1:7">
      <c r="A812" s="8">
        <v>807</v>
      </c>
      <c r="B812" s="9">
        <f t="shared" ca="1" si="72"/>
        <v>0.34187112600536951</v>
      </c>
      <c r="C812" s="10">
        <f t="shared" ca="1" si="73"/>
        <v>6.2753176454944155</v>
      </c>
      <c r="D812" s="9">
        <f t="shared" ca="1" si="74"/>
        <v>0.26869735416704177</v>
      </c>
      <c r="E812" s="10">
        <f t="shared" ca="1" si="75"/>
        <v>5.2123592694164813</v>
      </c>
      <c r="F812" s="9">
        <f t="shared" ca="1" si="76"/>
        <v>0.80193845580847656</v>
      </c>
      <c r="G812" s="10">
        <f t="shared" ca="1" si="77"/>
        <v>5.5242048827240833</v>
      </c>
    </row>
    <row r="813" spans="1:7">
      <c r="A813" s="8">
        <v>808</v>
      </c>
      <c r="B813" s="13">
        <f t="shared" ca="1" si="72"/>
        <v>0.9503240504468512</v>
      </c>
      <c r="C813" s="14">
        <f t="shared" ca="1" si="73"/>
        <v>45.033515631216666</v>
      </c>
      <c r="D813" s="13">
        <f t="shared" ca="1" si="74"/>
        <v>6.1692087765526482E-2</v>
      </c>
      <c r="E813" s="14">
        <f t="shared" ca="1" si="75"/>
        <v>4.0537825106631242</v>
      </c>
      <c r="F813" s="13">
        <f t="shared" ca="1" si="76"/>
        <v>0.10503910488775414</v>
      </c>
      <c r="G813" s="10">
        <f t="shared" ca="1" si="77"/>
        <v>1.5651626576915485</v>
      </c>
    </row>
    <row r="814" spans="1:7">
      <c r="A814" s="8">
        <v>809</v>
      </c>
      <c r="B814" s="9">
        <f t="shared" ca="1" si="72"/>
        <v>0.16418582133592929</v>
      </c>
      <c r="C814" s="10">
        <f t="shared" ca="1" si="73"/>
        <v>2.6902344739396309</v>
      </c>
      <c r="D814" s="9">
        <f t="shared" ca="1" si="74"/>
        <v>0.47842541225452739</v>
      </c>
      <c r="E814" s="10">
        <f t="shared" ca="1" si="75"/>
        <v>6.2677056052602484</v>
      </c>
      <c r="F814" s="9">
        <f t="shared" ca="1" si="76"/>
        <v>0.18060067911722755</v>
      </c>
      <c r="G814" s="10">
        <f t="shared" ca="1" si="77"/>
        <v>1.9196694609112723</v>
      </c>
    </row>
    <row r="815" spans="1:7">
      <c r="A815" s="8">
        <v>810</v>
      </c>
      <c r="B815" s="13">
        <f t="shared" ca="1" si="72"/>
        <v>0.83641508305793599</v>
      </c>
      <c r="C815" s="14">
        <f t="shared" ca="1" si="73"/>
        <v>27.156345806915191</v>
      </c>
      <c r="D815" s="13">
        <f t="shared" ca="1" si="74"/>
        <v>0.83489130173822368</v>
      </c>
      <c r="E815" s="14">
        <f t="shared" ca="1" si="75"/>
        <v>8.7748103946446943</v>
      </c>
      <c r="F815" s="13">
        <f t="shared" ca="1" si="76"/>
        <v>0.85728717915611774</v>
      </c>
      <c r="G815" s="10">
        <f t="shared" ca="1" si="77"/>
        <v>6.3023728408100999</v>
      </c>
    </row>
    <row r="816" spans="1:7">
      <c r="A816" s="8">
        <v>811</v>
      </c>
      <c r="B816" s="9">
        <f t="shared" ca="1" si="72"/>
        <v>0.41966747282244066</v>
      </c>
      <c r="C816" s="10">
        <f t="shared" ca="1" si="73"/>
        <v>8.1623102551263429</v>
      </c>
      <c r="D816" s="9">
        <f t="shared" ca="1" si="74"/>
        <v>0.51997379829695956</v>
      </c>
      <c r="E816" s="10">
        <f t="shared" ca="1" si="75"/>
        <v>6.5007590789917611</v>
      </c>
      <c r="F816" s="9">
        <f t="shared" ca="1" si="76"/>
        <v>0.50800069587147667</v>
      </c>
      <c r="G816" s="10">
        <f t="shared" ca="1" si="77"/>
        <v>3.3603114697089476</v>
      </c>
    </row>
    <row r="817" spans="1:7">
      <c r="A817" s="8">
        <v>812</v>
      </c>
      <c r="B817" s="13">
        <f t="shared" ca="1" si="72"/>
        <v>0.74314893235693302</v>
      </c>
      <c r="C817" s="14">
        <f t="shared" ca="1" si="73"/>
        <v>20.388882980973644</v>
      </c>
      <c r="D817" s="13">
        <f t="shared" ca="1" si="74"/>
        <v>0.73029354278161929</v>
      </c>
      <c r="E817" s="14">
        <f t="shared" ca="1" si="75"/>
        <v>7.8779244542636064</v>
      </c>
      <c r="F817" s="13">
        <f t="shared" ca="1" si="76"/>
        <v>0.19102928900242078</v>
      </c>
      <c r="G817" s="10">
        <f t="shared" ca="1" si="77"/>
        <v>1.9650825386987076</v>
      </c>
    </row>
    <row r="818" spans="1:7">
      <c r="A818" s="8">
        <v>813</v>
      </c>
      <c r="B818" s="9">
        <f t="shared" ca="1" si="72"/>
        <v>1.4449367300862659E-2</v>
      </c>
      <c r="C818" s="10">
        <f t="shared" ca="1" si="73"/>
        <v>0.2183216405057794</v>
      </c>
      <c r="D818" s="9">
        <f t="shared" ca="1" si="74"/>
        <v>0.17334338884398293</v>
      </c>
      <c r="E818" s="10">
        <f t="shared" ca="1" si="75"/>
        <v>4.7664034078295057</v>
      </c>
      <c r="F818" s="9">
        <f t="shared" ca="1" si="76"/>
        <v>0.1948841730408658</v>
      </c>
      <c r="G818" s="10">
        <f t="shared" ca="1" si="77"/>
        <v>1.9817444107427016</v>
      </c>
    </row>
    <row r="819" spans="1:7">
      <c r="A819" s="8">
        <v>814</v>
      </c>
      <c r="B819" s="13">
        <f t="shared" ca="1" si="72"/>
        <v>9.0533055329765411E-2</v>
      </c>
      <c r="C819" s="14">
        <f t="shared" ca="1" si="73"/>
        <v>1.4234493928822682</v>
      </c>
      <c r="D819" s="13">
        <f t="shared" ca="1" si="74"/>
        <v>0.45855946135146419</v>
      </c>
      <c r="E819" s="14">
        <f t="shared" ca="1" si="75"/>
        <v>6.1595587551232267</v>
      </c>
      <c r="F819" s="13">
        <f t="shared" ca="1" si="76"/>
        <v>0.37197120157844332</v>
      </c>
      <c r="G819" s="10">
        <f t="shared" ca="1" si="77"/>
        <v>2.7292251980938076</v>
      </c>
    </row>
    <row r="820" spans="1:7">
      <c r="A820" s="8">
        <v>815</v>
      </c>
      <c r="B820" s="9">
        <f t="shared" ca="1" si="72"/>
        <v>0.33416644717834321</v>
      </c>
      <c r="C820" s="10">
        <f t="shared" ca="1" si="73"/>
        <v>6.1007334054799571</v>
      </c>
      <c r="D820" s="9">
        <f t="shared" ca="1" si="74"/>
        <v>0.29874715082505254</v>
      </c>
      <c r="E820" s="10">
        <f t="shared" ca="1" si="75"/>
        <v>5.3532767849095979</v>
      </c>
      <c r="F820" s="9">
        <f t="shared" ca="1" si="76"/>
        <v>0.34921656922781474</v>
      </c>
      <c r="G820" s="10">
        <f t="shared" ca="1" si="77"/>
        <v>2.6314582022208484</v>
      </c>
    </row>
    <row r="821" spans="1:7">
      <c r="A821" s="8">
        <v>816</v>
      </c>
      <c r="B821" s="13">
        <f t="shared" ca="1" si="72"/>
        <v>0.53859571456225053</v>
      </c>
      <c r="C821" s="14">
        <f t="shared" ca="1" si="73"/>
        <v>11.602209680761826</v>
      </c>
      <c r="D821" s="13">
        <f t="shared" ca="1" si="74"/>
        <v>0.27548334420152099</v>
      </c>
      <c r="E821" s="14">
        <f t="shared" ca="1" si="75"/>
        <v>5.2439250066844156</v>
      </c>
      <c r="F821" s="13">
        <f t="shared" ca="1" si="76"/>
        <v>1.4722121640774355E-2</v>
      </c>
      <c r="G821" s="10">
        <f t="shared" ca="1" si="77"/>
        <v>0.89898200634291714</v>
      </c>
    </row>
    <row r="822" spans="1:7">
      <c r="A822" s="8">
        <v>817</v>
      </c>
      <c r="B822" s="9">
        <f t="shared" ca="1" si="72"/>
        <v>0.47869942457997117</v>
      </c>
      <c r="C822" s="10">
        <f t="shared" ca="1" si="73"/>
        <v>9.771427250868765</v>
      </c>
      <c r="D822" s="9">
        <f t="shared" ca="1" si="74"/>
        <v>0.66945125625815671</v>
      </c>
      <c r="E822" s="10">
        <f t="shared" ca="1" si="75"/>
        <v>7.4366053364040354</v>
      </c>
      <c r="F822" s="9">
        <f t="shared" ca="1" si="76"/>
        <v>3.1523538555012331E-2</v>
      </c>
      <c r="G822" s="10">
        <f t="shared" ca="1" si="77"/>
        <v>1.0883735100482299</v>
      </c>
    </row>
    <row r="823" spans="1:7">
      <c r="A823" s="8">
        <v>818</v>
      </c>
      <c r="B823" s="13">
        <f t="shared" ca="1" si="72"/>
        <v>0.24778594137867482</v>
      </c>
      <c r="C823" s="14">
        <f t="shared" ca="1" si="73"/>
        <v>4.2710151467420454</v>
      </c>
      <c r="D823" s="13">
        <f t="shared" ca="1" si="74"/>
        <v>0.28577117045710254</v>
      </c>
      <c r="E823" s="14">
        <f t="shared" ca="1" si="75"/>
        <v>5.292063188937858</v>
      </c>
      <c r="F823" s="13">
        <f t="shared" ca="1" si="76"/>
        <v>0.96505260121151892</v>
      </c>
      <c r="G823" s="10">
        <f t="shared" ca="1" si="77"/>
        <v>9.8508239647294769</v>
      </c>
    </row>
    <row r="824" spans="1:7">
      <c r="A824" s="8">
        <v>819</v>
      </c>
      <c r="B824" s="9">
        <f t="shared" ca="1" si="72"/>
        <v>0.64921542152278</v>
      </c>
      <c r="C824" s="10">
        <f t="shared" ca="1" si="73"/>
        <v>15.713744706926523</v>
      </c>
      <c r="D824" s="9">
        <f t="shared" ca="1" si="74"/>
        <v>0.81553868697489984</v>
      </c>
      <c r="E824" s="10">
        <f t="shared" ca="1" si="75"/>
        <v>8.5910320153188131</v>
      </c>
      <c r="F824" s="9">
        <f t="shared" ca="1" si="76"/>
        <v>4.4837511794436402E-2</v>
      </c>
      <c r="G824" s="10">
        <f t="shared" ca="1" si="77"/>
        <v>1.1992919321239788</v>
      </c>
    </row>
    <row r="825" spans="1:7">
      <c r="A825" s="8">
        <v>820</v>
      </c>
      <c r="B825" s="13">
        <f t="shared" ca="1" si="72"/>
        <v>0.70883814563263403</v>
      </c>
      <c r="C825" s="14">
        <f t="shared" ca="1" si="73"/>
        <v>18.508139487865684</v>
      </c>
      <c r="D825" s="13">
        <f t="shared" ca="1" si="74"/>
        <v>0.11529991860690003</v>
      </c>
      <c r="E825" s="14">
        <f t="shared" ca="1" si="75"/>
        <v>4.4406243559388408</v>
      </c>
      <c r="F825" s="13">
        <f t="shared" ca="1" si="76"/>
        <v>0.83203611403319355</v>
      </c>
      <c r="G825" s="10">
        <f t="shared" ca="1" si="77"/>
        <v>5.9141367217974299</v>
      </c>
    </row>
    <row r="826" spans="1:7">
      <c r="A826" s="8">
        <v>821</v>
      </c>
      <c r="B826" s="9">
        <f t="shared" ca="1" si="72"/>
        <v>0.42414549928304035</v>
      </c>
      <c r="C826" s="10">
        <f t="shared" ca="1" si="73"/>
        <v>8.2785037967652393</v>
      </c>
      <c r="D826" s="9">
        <f t="shared" ca="1" si="74"/>
        <v>0.30152672966138616</v>
      </c>
      <c r="E826" s="10">
        <f t="shared" ca="1" si="75"/>
        <v>5.3664627813411139</v>
      </c>
      <c r="F826" s="9">
        <f t="shared" ca="1" si="76"/>
        <v>0.21366602181886352</v>
      </c>
      <c r="G826" s="10">
        <f t="shared" ca="1" si="77"/>
        <v>2.0621327968905558</v>
      </c>
    </row>
    <row r="827" spans="1:7">
      <c r="A827" s="8">
        <v>822</v>
      </c>
      <c r="B827" s="13">
        <f t="shared" ca="1" si="72"/>
        <v>0.31391627339635853</v>
      </c>
      <c r="C827" s="14">
        <f t="shared" ca="1" si="73"/>
        <v>5.6513341239176258</v>
      </c>
      <c r="D827" s="13">
        <f t="shared" ca="1" si="74"/>
        <v>0.92945805109021151</v>
      </c>
      <c r="E827" s="14">
        <f t="shared" ca="1" si="75"/>
        <v>9.8918864401278874</v>
      </c>
      <c r="F827" s="13">
        <f t="shared" ca="1" si="76"/>
        <v>0.24697907877247427</v>
      </c>
      <c r="G827" s="10">
        <f t="shared" ca="1" si="77"/>
        <v>2.2024796493522802</v>
      </c>
    </row>
    <row r="828" spans="1:7">
      <c r="A828" s="8">
        <v>823</v>
      </c>
      <c r="B828" s="9">
        <f t="shared" ca="1" si="72"/>
        <v>0.17464103421378863</v>
      </c>
      <c r="C828" s="10">
        <f t="shared" ca="1" si="73"/>
        <v>2.8790531585473369</v>
      </c>
      <c r="D828" s="9">
        <f t="shared" ca="1" si="74"/>
        <v>0.67670217330618998</v>
      </c>
      <c r="E828" s="10">
        <f t="shared" ca="1" si="75"/>
        <v>7.4869341815446528</v>
      </c>
      <c r="F828" s="9">
        <f t="shared" ca="1" si="76"/>
        <v>9.4083307119270154E-2</v>
      </c>
      <c r="G828" s="10">
        <f t="shared" ca="1" si="77"/>
        <v>1.5074006151006063</v>
      </c>
    </row>
    <row r="829" spans="1:7">
      <c r="A829" s="8">
        <v>824</v>
      </c>
      <c r="B829" s="13">
        <f t="shared" ca="1" si="72"/>
        <v>0.7070727501896269</v>
      </c>
      <c r="C829" s="14">
        <f t="shared" ca="1" si="73"/>
        <v>18.417464924365767</v>
      </c>
      <c r="D829" s="13">
        <f t="shared" ca="1" si="74"/>
        <v>0.62831398628588842</v>
      </c>
      <c r="E829" s="14">
        <f t="shared" ca="1" si="75"/>
        <v>7.1609692226656554</v>
      </c>
      <c r="F829" s="13">
        <f t="shared" ca="1" si="76"/>
        <v>0.10612473478227868</v>
      </c>
      <c r="G829" s="10">
        <f t="shared" ca="1" si="77"/>
        <v>1.5707570692854393</v>
      </c>
    </row>
    <row r="830" spans="1:7">
      <c r="A830" s="8">
        <v>825</v>
      </c>
      <c r="B830" s="9">
        <f t="shared" ca="1" si="72"/>
        <v>0.73506571172281387</v>
      </c>
      <c r="C830" s="10">
        <f t="shared" ca="1" si="73"/>
        <v>19.92410178765882</v>
      </c>
      <c r="D830" s="9">
        <f t="shared" ca="1" si="74"/>
        <v>0.64839485679411279</v>
      </c>
      <c r="E830" s="10">
        <f t="shared" ca="1" si="75"/>
        <v>7.2935019364743283</v>
      </c>
      <c r="F830" s="9">
        <f t="shared" ca="1" si="76"/>
        <v>0.36224204811641569</v>
      </c>
      <c r="G830" s="10">
        <f t="shared" ca="1" si="77"/>
        <v>2.6872453247473778</v>
      </c>
    </row>
    <row r="831" spans="1:7">
      <c r="A831" s="8">
        <v>826</v>
      </c>
      <c r="B831" s="13">
        <f t="shared" ca="1" si="72"/>
        <v>7.1683403516372257E-2</v>
      </c>
      <c r="C831" s="14">
        <f t="shared" ca="1" si="73"/>
        <v>1.1157366656080334</v>
      </c>
      <c r="D831" s="13">
        <f t="shared" ca="1" si="74"/>
        <v>0.90763840745470403</v>
      </c>
      <c r="E831" s="14">
        <f t="shared" ca="1" si="75"/>
        <v>9.5877851815491955</v>
      </c>
      <c r="F831" s="13">
        <f t="shared" ca="1" si="76"/>
        <v>0.51107978328793147</v>
      </c>
      <c r="G831" s="10">
        <f t="shared" ca="1" si="77"/>
        <v>3.3759132544645833</v>
      </c>
    </row>
    <row r="832" spans="1:7">
      <c r="A832" s="8">
        <v>827</v>
      </c>
      <c r="B832" s="9">
        <f t="shared" ca="1" si="72"/>
        <v>2.8703400732003059E-3</v>
      </c>
      <c r="C832" s="10">
        <f t="shared" ca="1" si="73"/>
        <v>4.3117010985691422E-2</v>
      </c>
      <c r="D832" s="9">
        <f t="shared" ca="1" si="74"/>
        <v>0.24362826514864</v>
      </c>
      <c r="E832" s="10">
        <f t="shared" ca="1" si="75"/>
        <v>5.096999254263717</v>
      </c>
      <c r="F832" s="9">
        <f t="shared" ca="1" si="76"/>
        <v>0.16330532326376868</v>
      </c>
      <c r="G832" s="10">
        <f t="shared" ca="1" si="77"/>
        <v>1.8430499570271468</v>
      </c>
    </row>
    <row r="833" spans="1:7">
      <c r="A833" s="8">
        <v>828</v>
      </c>
      <c r="B833" s="13">
        <f t="shared" ca="1" si="72"/>
        <v>0.70314567337353551</v>
      </c>
      <c r="C833" s="14">
        <f t="shared" ca="1" si="73"/>
        <v>18.217706148669297</v>
      </c>
      <c r="D833" s="13">
        <f t="shared" ca="1" si="74"/>
        <v>0.2108456769617586</v>
      </c>
      <c r="E833" s="14">
        <f t="shared" ca="1" si="75"/>
        <v>4.9481329999031516</v>
      </c>
      <c r="F833" s="13">
        <f t="shared" ca="1" si="76"/>
        <v>0.1275810111541662</v>
      </c>
      <c r="G833" s="10">
        <f t="shared" ca="1" si="77"/>
        <v>1.6774246744399472</v>
      </c>
    </row>
    <row r="834" spans="1:7">
      <c r="A834" s="8">
        <v>829</v>
      </c>
      <c r="B834" s="9">
        <f t="shared" ca="1" si="72"/>
        <v>0.47433003052141498</v>
      </c>
      <c r="C834" s="10">
        <f t="shared" ca="1" si="73"/>
        <v>9.6462254642273315</v>
      </c>
      <c r="D834" s="9">
        <f t="shared" ca="1" si="74"/>
        <v>0.27370340488218881</v>
      </c>
      <c r="E834" s="10">
        <f t="shared" ca="1" si="75"/>
        <v>5.235631182998512</v>
      </c>
      <c r="F834" s="9">
        <f t="shared" ca="1" si="76"/>
        <v>0.10104278499637442</v>
      </c>
      <c r="G834" s="10">
        <f t="shared" ca="1" si="77"/>
        <v>1.5443771453598001</v>
      </c>
    </row>
    <row r="835" spans="1:7">
      <c r="A835" s="8">
        <v>830</v>
      </c>
      <c r="B835" s="13">
        <f t="shared" ca="1" si="72"/>
        <v>0.99361026214748971</v>
      </c>
      <c r="C835" s="14">
        <f t="shared" ca="1" si="73"/>
        <v>75.795930541207568</v>
      </c>
      <c r="D835" s="13">
        <f t="shared" ca="1" si="74"/>
        <v>0.65230145978054077</v>
      </c>
      <c r="E835" s="14">
        <f t="shared" ca="1" si="75"/>
        <v>7.3197213722016574</v>
      </c>
      <c r="F835" s="13">
        <f t="shared" ca="1" si="76"/>
        <v>0.7630577611015017</v>
      </c>
      <c r="G835" s="10">
        <f t="shared" ca="1" si="77"/>
        <v>5.1023634466550165</v>
      </c>
    </row>
    <row r="836" spans="1:7">
      <c r="A836" s="8">
        <v>831</v>
      </c>
      <c r="B836" s="9">
        <f t="shared" ca="1" si="72"/>
        <v>0.50257124079658155</v>
      </c>
      <c r="C836" s="10">
        <f t="shared" ca="1" si="73"/>
        <v>10.474543953274658</v>
      </c>
      <c r="D836" s="9">
        <f t="shared" ca="1" si="74"/>
        <v>0.26008977864524985</v>
      </c>
      <c r="E836" s="10">
        <f t="shared" ca="1" si="75"/>
        <v>5.1725301944754634</v>
      </c>
      <c r="F836" s="9">
        <f t="shared" ca="1" si="76"/>
        <v>0.5687521966979957</v>
      </c>
      <c r="G836" s="10">
        <f t="shared" ca="1" si="77"/>
        <v>3.6837046505242244</v>
      </c>
    </row>
    <row r="837" spans="1:7">
      <c r="A837" s="8">
        <v>832</v>
      </c>
      <c r="B837" s="13">
        <f t="shared" ca="1" si="72"/>
        <v>0.21573110109952298</v>
      </c>
      <c r="C837" s="14">
        <f t="shared" ca="1" si="73"/>
        <v>3.645050012184416</v>
      </c>
      <c r="D837" s="13">
        <f t="shared" ca="1" si="74"/>
        <v>9.3691435115655586E-2</v>
      </c>
      <c r="E837" s="14">
        <f t="shared" ca="1" si="75"/>
        <v>4.2986322928688478</v>
      </c>
      <c r="F837" s="13">
        <f t="shared" ca="1" si="76"/>
        <v>0.82417789318284451</v>
      </c>
      <c r="G837" s="10">
        <f t="shared" ca="1" si="77"/>
        <v>5.8057155644448901</v>
      </c>
    </row>
    <row r="838" spans="1:7">
      <c r="A838" s="8">
        <v>833</v>
      </c>
      <c r="B838" s="9">
        <f t="shared" ref="B838:B901" ca="1" si="78">RAND()</f>
        <v>0.57268980784667844</v>
      </c>
      <c r="C838" s="10">
        <f t="shared" ref="C838:C901" ca="1" si="79">-$J$6 * LN(1 - B838)</f>
        <v>12.753676262448916</v>
      </c>
      <c r="D838" s="9">
        <f t="shared" ref="D838:D901" ca="1" si="80">RAND()</f>
        <v>0.98711793688846305</v>
      </c>
      <c r="E838" s="10">
        <f t="shared" ref="E838:E901" ca="1" si="81">IF(D838&lt;=$N$9, $N$6+SQRT(D838*($N$8-$N$6)*($N$7-$N$6)), $N$8-SQRT((1-D838)*($N$8-$N$6)*($N$8-$N$7)))</f>
        <v>11.0991282133251</v>
      </c>
      <c r="F838" s="9">
        <f t="shared" ref="F838:F901" ca="1" si="82">RAND()</f>
        <v>0.1254519017432687</v>
      </c>
      <c r="G838" s="10">
        <f t="shared" ca="1" si="77"/>
        <v>1.6671338053405631</v>
      </c>
    </row>
    <row r="839" spans="1:7">
      <c r="A839" s="8">
        <v>834</v>
      </c>
      <c r="B839" s="13">
        <f t="shared" ca="1" si="78"/>
        <v>0.53987124298168709</v>
      </c>
      <c r="C839" s="14">
        <f t="shared" ca="1" si="79"/>
        <v>11.643733831559695</v>
      </c>
      <c r="D839" s="13">
        <f t="shared" ca="1" si="80"/>
        <v>0.33035663713751218</v>
      </c>
      <c r="E839" s="14">
        <f t="shared" ca="1" si="81"/>
        <v>5.5048070190073082</v>
      </c>
      <c r="F839" s="13">
        <f t="shared" ca="1" si="82"/>
        <v>0.16843438542772626</v>
      </c>
      <c r="G839" s="10">
        <f t="shared" ref="G839:G902" ca="1" si="83">_xlfn.LOGNORM.INV(F839, $R$6, $R$7)</f>
        <v>1.8659637758801544</v>
      </c>
    </row>
    <row r="840" spans="1:7">
      <c r="A840" s="8">
        <v>835</v>
      </c>
      <c r="B840" s="9">
        <f t="shared" ca="1" si="78"/>
        <v>0.23903324388503033</v>
      </c>
      <c r="C840" s="10">
        <f t="shared" ca="1" si="79"/>
        <v>4.0974840982359204</v>
      </c>
      <c r="D840" s="9">
        <f t="shared" ca="1" si="80"/>
        <v>0.83693597038423695</v>
      </c>
      <c r="E840" s="10">
        <f t="shared" ca="1" si="81"/>
        <v>8.7948426145050114</v>
      </c>
      <c r="F840" s="9">
        <f t="shared" ca="1" si="82"/>
        <v>0.76424537626545119</v>
      </c>
      <c r="G840" s="10">
        <f t="shared" ca="1" si="83"/>
        <v>5.1141711670716345</v>
      </c>
    </row>
    <row r="841" spans="1:7">
      <c r="A841" s="8">
        <v>836</v>
      </c>
      <c r="B841" s="13">
        <f t="shared" ca="1" si="78"/>
        <v>0.65699380238221383</v>
      </c>
      <c r="C841" s="14">
        <f t="shared" ca="1" si="79"/>
        <v>16.050101446843762</v>
      </c>
      <c r="D841" s="13">
        <f t="shared" ca="1" si="80"/>
        <v>0.58119013569162392</v>
      </c>
      <c r="E841" s="14">
        <f t="shared" ca="1" si="81"/>
        <v>6.8633647733727781</v>
      </c>
      <c r="F841" s="13">
        <f t="shared" ca="1" si="82"/>
        <v>0.62491756408538957</v>
      </c>
      <c r="G841" s="10">
        <f t="shared" ca="1" si="83"/>
        <v>4.0190806589957955</v>
      </c>
    </row>
    <row r="842" spans="1:7">
      <c r="A842" s="8">
        <v>837</v>
      </c>
      <c r="B842" s="9">
        <f t="shared" ca="1" si="78"/>
        <v>0.65690901415161973</v>
      </c>
      <c r="C842" s="10">
        <f t="shared" ca="1" si="79"/>
        <v>16.046394031929275</v>
      </c>
      <c r="D842" s="9">
        <f t="shared" ca="1" si="80"/>
        <v>0.58565737008468743</v>
      </c>
      <c r="E842" s="10">
        <f t="shared" ca="1" si="81"/>
        <v>6.8908331711848856</v>
      </c>
      <c r="F842" s="9">
        <f t="shared" ca="1" si="82"/>
        <v>0.57710184159655431</v>
      </c>
      <c r="G842" s="10">
        <f t="shared" ca="1" si="83"/>
        <v>3.7310543613685918</v>
      </c>
    </row>
    <row r="843" spans="1:7">
      <c r="A843" s="8">
        <v>838</v>
      </c>
      <c r="B843" s="13">
        <f t="shared" ca="1" si="78"/>
        <v>0.49043680209793838</v>
      </c>
      <c r="C843" s="14">
        <f t="shared" ca="1" si="79"/>
        <v>10.113020924244294</v>
      </c>
      <c r="D843" s="13">
        <f t="shared" ca="1" si="80"/>
        <v>3.0559223261937496E-2</v>
      </c>
      <c r="E843" s="14">
        <f t="shared" ca="1" si="81"/>
        <v>3.7416643571824624</v>
      </c>
      <c r="F843" s="13">
        <f t="shared" ca="1" si="82"/>
        <v>0.70437374718779588</v>
      </c>
      <c r="G843" s="10">
        <f t="shared" ca="1" si="83"/>
        <v>4.5823552998851325</v>
      </c>
    </row>
    <row r="844" spans="1:7">
      <c r="A844" s="8">
        <v>839</v>
      </c>
      <c r="B844" s="9">
        <f t="shared" ca="1" si="78"/>
        <v>0.4645080848061387</v>
      </c>
      <c r="C844" s="10">
        <f t="shared" ca="1" si="79"/>
        <v>9.3685423032825152</v>
      </c>
      <c r="D844" s="9">
        <f t="shared" ca="1" si="80"/>
        <v>8.5814504139832271E-2</v>
      </c>
      <c r="E844" s="10">
        <f t="shared" ca="1" si="81"/>
        <v>4.242843946164192</v>
      </c>
      <c r="F844" s="9">
        <f t="shared" ca="1" si="82"/>
        <v>0.53392286612358641</v>
      </c>
      <c r="G844" s="10">
        <f t="shared" ca="1" si="83"/>
        <v>3.4941175244622218</v>
      </c>
    </row>
    <row r="845" spans="1:7">
      <c r="A845" s="8">
        <v>840</v>
      </c>
      <c r="B845" s="13">
        <f t="shared" ca="1" si="78"/>
        <v>0.30977307572738999</v>
      </c>
      <c r="C845" s="14">
        <f t="shared" ca="1" si="79"/>
        <v>5.5610228955180601</v>
      </c>
      <c r="D845" s="13">
        <f t="shared" ca="1" si="80"/>
        <v>8.5992375007744926E-2</v>
      </c>
      <c r="E845" s="14">
        <f t="shared" ca="1" si="81"/>
        <v>4.2441313235102669</v>
      </c>
      <c r="F845" s="13">
        <f t="shared" ca="1" si="82"/>
        <v>9.990366322143418E-2</v>
      </c>
      <c r="G845" s="10">
        <f t="shared" ca="1" si="83"/>
        <v>1.5383948768621338</v>
      </c>
    </row>
    <row r="846" spans="1:7">
      <c r="A846" s="8">
        <v>841</v>
      </c>
      <c r="B846" s="9">
        <f t="shared" ca="1" si="78"/>
        <v>0.84273520398553581</v>
      </c>
      <c r="C846" s="10">
        <f t="shared" ca="1" si="79"/>
        <v>27.747364432892265</v>
      </c>
      <c r="D846" s="9">
        <f t="shared" ca="1" si="80"/>
        <v>0.8736168504763</v>
      </c>
      <c r="E846" s="10">
        <f t="shared" ca="1" si="81"/>
        <v>9.1782738580802885</v>
      </c>
      <c r="F846" s="9">
        <f t="shared" ca="1" si="82"/>
        <v>0.6963545716642745</v>
      </c>
      <c r="G846" s="10">
        <f t="shared" ca="1" si="83"/>
        <v>4.5193430767395633</v>
      </c>
    </row>
    <row r="847" spans="1:7">
      <c r="A847" s="8">
        <v>842</v>
      </c>
      <c r="B847" s="13">
        <f t="shared" ca="1" si="78"/>
        <v>0.16922524588740351</v>
      </c>
      <c r="C847" s="14">
        <f t="shared" ca="1" si="79"/>
        <v>2.7809486232689631</v>
      </c>
      <c r="D847" s="13">
        <f t="shared" ca="1" si="80"/>
        <v>0.99610721810401415</v>
      </c>
      <c r="E847" s="14">
        <f t="shared" ca="1" si="81"/>
        <v>11.504777565686783</v>
      </c>
      <c r="F847" s="13">
        <f t="shared" ca="1" si="82"/>
        <v>2.8087695662567413E-2</v>
      </c>
      <c r="G847" s="10">
        <f t="shared" ca="1" si="83"/>
        <v>1.0556920126969458</v>
      </c>
    </row>
    <row r="848" spans="1:7">
      <c r="A848" s="8">
        <v>843</v>
      </c>
      <c r="B848" s="9">
        <f t="shared" ca="1" si="78"/>
        <v>0.35539738902583806</v>
      </c>
      <c r="C848" s="10">
        <f t="shared" ca="1" si="79"/>
        <v>6.5868188861263119</v>
      </c>
      <c r="D848" s="9">
        <f t="shared" ca="1" si="80"/>
        <v>0.33414702203077751</v>
      </c>
      <c r="E848" s="10">
        <f t="shared" ca="1" si="81"/>
        <v>5.5232154882178595</v>
      </c>
      <c r="F848" s="9">
        <f t="shared" ca="1" si="82"/>
        <v>0.22496170046337582</v>
      </c>
      <c r="G848" s="10">
        <f t="shared" ca="1" si="83"/>
        <v>2.1099713286331236</v>
      </c>
    </row>
    <row r="849" spans="1:7">
      <c r="A849" s="8">
        <v>844</v>
      </c>
      <c r="B849" s="13">
        <f t="shared" ca="1" si="78"/>
        <v>0.42086586460667397</v>
      </c>
      <c r="C849" s="14">
        <f t="shared" ca="1" si="79"/>
        <v>8.1933174134083711</v>
      </c>
      <c r="D849" s="13">
        <f t="shared" ca="1" si="80"/>
        <v>0.46139209255759261</v>
      </c>
      <c r="E849" s="14">
        <f t="shared" ca="1" si="81"/>
        <v>6.174856382124843</v>
      </c>
      <c r="F849" s="13">
        <f t="shared" ca="1" si="82"/>
        <v>0.89080823674106069</v>
      </c>
      <c r="G849" s="10">
        <f t="shared" ca="1" si="83"/>
        <v>6.9483393828570037</v>
      </c>
    </row>
    <row r="850" spans="1:7">
      <c r="A850" s="8">
        <v>845</v>
      </c>
      <c r="B850" s="9">
        <f t="shared" ca="1" si="78"/>
        <v>7.4024876257544836E-2</v>
      </c>
      <c r="C850" s="10">
        <f t="shared" ca="1" si="79"/>
        <v>1.1536186335872805</v>
      </c>
      <c r="D850" s="9">
        <f t="shared" ca="1" si="80"/>
        <v>0.34909925266921227</v>
      </c>
      <c r="E850" s="10">
        <f t="shared" ca="1" si="81"/>
        <v>5.5963489256643886</v>
      </c>
      <c r="F850" s="9">
        <f t="shared" ca="1" si="82"/>
        <v>0.77870046135512294</v>
      </c>
      <c r="G850" s="10">
        <f t="shared" ca="1" si="83"/>
        <v>5.2629252590085818</v>
      </c>
    </row>
    <row r="851" spans="1:7">
      <c r="A851" s="8">
        <v>846</v>
      </c>
      <c r="B851" s="13">
        <f t="shared" ca="1" si="78"/>
        <v>0.90513793151275768</v>
      </c>
      <c r="C851" s="14">
        <f t="shared" ca="1" si="79"/>
        <v>35.329970296287442</v>
      </c>
      <c r="D851" s="13">
        <f t="shared" ca="1" si="80"/>
        <v>0.99425233419211723</v>
      </c>
      <c r="E851" s="14">
        <f t="shared" ca="1" si="81"/>
        <v>11.398250096886908</v>
      </c>
      <c r="F851" s="13">
        <f t="shared" ca="1" si="82"/>
        <v>0.98083334402772093</v>
      </c>
      <c r="G851" s="10">
        <f t="shared" ca="1" si="83"/>
        <v>11.504792243143426</v>
      </c>
    </row>
    <row r="852" spans="1:7">
      <c r="A852" s="8">
        <v>847</v>
      </c>
      <c r="B852" s="9">
        <f t="shared" ca="1" si="78"/>
        <v>0.22913239630088889</v>
      </c>
      <c r="C852" s="10">
        <f t="shared" ca="1" si="79"/>
        <v>3.9035796059854668</v>
      </c>
      <c r="D852" s="9">
        <f t="shared" ca="1" si="80"/>
        <v>0.45757273701933898</v>
      </c>
      <c r="E852" s="10">
        <f t="shared" ca="1" si="81"/>
        <v>6.1542393507960282</v>
      </c>
      <c r="F852" s="9">
        <f t="shared" ca="1" si="82"/>
        <v>0.76499506158695729</v>
      </c>
      <c r="G852" s="10">
        <f t="shared" ca="1" si="83"/>
        <v>5.1216558197080841</v>
      </c>
    </row>
    <row r="853" spans="1:7">
      <c r="A853" s="8">
        <v>848</v>
      </c>
      <c r="B853" s="13">
        <f t="shared" ca="1" si="78"/>
        <v>0.11598990042193491</v>
      </c>
      <c r="C853" s="14">
        <f t="shared" ca="1" si="79"/>
        <v>1.8493018732153841</v>
      </c>
      <c r="D853" s="13">
        <f t="shared" ca="1" si="80"/>
        <v>0.8779117423651247</v>
      </c>
      <c r="E853" s="14">
        <f t="shared" ca="1" si="81"/>
        <v>9.2266337726515193</v>
      </c>
      <c r="F853" s="13">
        <f t="shared" ca="1" si="82"/>
        <v>1.7973718068647671E-2</v>
      </c>
      <c r="G853" s="10">
        <f t="shared" ca="1" si="83"/>
        <v>0.94316607454564583</v>
      </c>
    </row>
    <row r="854" spans="1:7">
      <c r="A854" s="8">
        <v>849</v>
      </c>
      <c r="B854" s="9">
        <f t="shared" ca="1" si="78"/>
        <v>0.60949553419081559</v>
      </c>
      <c r="C854" s="10">
        <f t="shared" ca="1" si="79"/>
        <v>14.104738104550716</v>
      </c>
      <c r="D854" s="9">
        <f t="shared" ca="1" si="80"/>
        <v>0.3895460589605495</v>
      </c>
      <c r="E854" s="10">
        <f t="shared" ca="1" si="81"/>
        <v>5.7985003196415965</v>
      </c>
      <c r="F854" s="9">
        <f t="shared" ca="1" si="82"/>
        <v>0.89199129817926337</v>
      </c>
      <c r="G854" s="10">
        <f t="shared" ca="1" si="83"/>
        <v>6.9748625760657701</v>
      </c>
    </row>
    <row r="855" spans="1:7">
      <c r="A855" s="8">
        <v>850</v>
      </c>
      <c r="B855" s="13">
        <f t="shared" ca="1" si="78"/>
        <v>0.82417884255255203</v>
      </c>
      <c r="C855" s="14">
        <f t="shared" ca="1" si="79"/>
        <v>26.074319271630952</v>
      </c>
      <c r="D855" s="13">
        <f t="shared" ca="1" si="80"/>
        <v>3.9141361640080863E-2</v>
      </c>
      <c r="E855" s="14">
        <f t="shared" ca="1" si="81"/>
        <v>3.839371496729223</v>
      </c>
      <c r="F855" s="13">
        <f t="shared" ca="1" si="82"/>
        <v>0.11468072568849719</v>
      </c>
      <c r="G855" s="10">
        <f t="shared" ca="1" si="83"/>
        <v>1.6141310848706716</v>
      </c>
    </row>
    <row r="856" spans="1:7">
      <c r="A856" s="8">
        <v>851</v>
      </c>
      <c r="B856" s="9">
        <f t="shared" ca="1" si="78"/>
        <v>0.52300558094729088</v>
      </c>
      <c r="C856" s="10">
        <f t="shared" ca="1" si="79"/>
        <v>11.103757323920773</v>
      </c>
      <c r="D856" s="9">
        <f t="shared" ca="1" si="80"/>
        <v>0.16372252776033236</v>
      </c>
      <c r="E856" s="10">
        <f t="shared" ca="1" si="81"/>
        <v>4.7166844496546192</v>
      </c>
      <c r="F856" s="9">
        <f t="shared" ca="1" si="82"/>
        <v>0.64343097850475828</v>
      </c>
      <c r="G856" s="10">
        <f t="shared" ca="1" si="83"/>
        <v>4.1395493533329395</v>
      </c>
    </row>
    <row r="857" spans="1:7">
      <c r="A857" s="8">
        <v>852</v>
      </c>
      <c r="B857" s="13">
        <f t="shared" ca="1" si="78"/>
        <v>0.82601802861707241</v>
      </c>
      <c r="C857" s="14">
        <f t="shared" ca="1" si="79"/>
        <v>26.232053968163616</v>
      </c>
      <c r="D857" s="13">
        <f t="shared" ca="1" si="80"/>
        <v>0.89084440085271321</v>
      </c>
      <c r="E857" s="14">
        <f t="shared" ca="1" si="81"/>
        <v>9.377634131880324</v>
      </c>
      <c r="F857" s="13">
        <f t="shared" ca="1" si="82"/>
        <v>0.86753883400465037</v>
      </c>
      <c r="G857" s="10">
        <f t="shared" ca="1" si="83"/>
        <v>6.4811588184005933</v>
      </c>
    </row>
    <row r="858" spans="1:7">
      <c r="A858" s="8">
        <v>853</v>
      </c>
      <c r="B858" s="9">
        <f t="shared" ca="1" si="78"/>
        <v>0.74118499497880175</v>
      </c>
      <c r="C858" s="10">
        <f t="shared" ca="1" si="79"/>
        <v>20.274626082296173</v>
      </c>
      <c r="D858" s="9">
        <f t="shared" ca="1" si="80"/>
        <v>1.4548000665895566E-2</v>
      </c>
      <c r="E858" s="10">
        <f t="shared" ca="1" si="81"/>
        <v>3.5117265011567413</v>
      </c>
      <c r="F858" s="9">
        <f t="shared" ca="1" si="82"/>
        <v>0.46421352579677955</v>
      </c>
      <c r="G858" s="10">
        <f t="shared" ca="1" si="83"/>
        <v>3.1459175032347453</v>
      </c>
    </row>
    <row r="859" spans="1:7">
      <c r="A859" s="8">
        <v>854</v>
      </c>
      <c r="B859" s="13">
        <f t="shared" ca="1" si="78"/>
        <v>0.28187326265918278</v>
      </c>
      <c r="C859" s="14">
        <f t="shared" ca="1" si="79"/>
        <v>4.9666381666274182</v>
      </c>
      <c r="D859" s="13">
        <f t="shared" ca="1" si="80"/>
        <v>0.55246288309647351</v>
      </c>
      <c r="E859" s="14">
        <f t="shared" ca="1" si="81"/>
        <v>6.6901187993588627</v>
      </c>
      <c r="F859" s="13">
        <f t="shared" ca="1" si="82"/>
        <v>5.750857069959836E-2</v>
      </c>
      <c r="G859" s="10">
        <f t="shared" ca="1" si="83"/>
        <v>1.2896584919058909</v>
      </c>
    </row>
    <row r="860" spans="1:7">
      <c r="A860" s="8">
        <v>855</v>
      </c>
      <c r="B860" s="9">
        <f t="shared" ca="1" si="78"/>
        <v>0.79493139057645101</v>
      </c>
      <c r="C860" s="10">
        <f t="shared" ca="1" si="79"/>
        <v>23.76616013582629</v>
      </c>
      <c r="D860" s="9">
        <f t="shared" ca="1" si="80"/>
        <v>0.87511040643467786</v>
      </c>
      <c r="E860" s="10">
        <f t="shared" ca="1" si="81"/>
        <v>9.1949965428514542</v>
      </c>
      <c r="F860" s="9">
        <f t="shared" ca="1" si="82"/>
        <v>0.49061862035211967</v>
      </c>
      <c r="G860" s="10">
        <f t="shared" ca="1" si="83"/>
        <v>3.2735968040050789</v>
      </c>
    </row>
    <row r="861" spans="1:7">
      <c r="A861" s="8">
        <v>856</v>
      </c>
      <c r="B861" s="13">
        <f t="shared" ca="1" si="78"/>
        <v>0.63124576006629907</v>
      </c>
      <c r="C861" s="14">
        <f t="shared" ca="1" si="79"/>
        <v>14.964373099033795</v>
      </c>
      <c r="D861" s="13">
        <f t="shared" ca="1" si="80"/>
        <v>0.88575802529013592</v>
      </c>
      <c r="E861" s="14">
        <f t="shared" ca="1" si="81"/>
        <v>9.3172319506298287</v>
      </c>
      <c r="F861" s="13">
        <f t="shared" ca="1" si="82"/>
        <v>0.86375805734596145</v>
      </c>
      <c r="G861" s="10">
        <f t="shared" ca="1" si="83"/>
        <v>6.4135710934659516</v>
      </c>
    </row>
    <row r="862" spans="1:7">
      <c r="A862" s="8">
        <v>857</v>
      </c>
      <c r="B862" s="9">
        <f t="shared" ca="1" si="78"/>
        <v>0.32768598698941154</v>
      </c>
      <c r="C862" s="10">
        <f t="shared" ca="1" si="79"/>
        <v>5.9554464950268429</v>
      </c>
      <c r="D862" s="9">
        <f t="shared" ca="1" si="80"/>
        <v>0.51515657299258377</v>
      </c>
      <c r="E862" s="10">
        <f t="shared" ca="1" si="81"/>
        <v>6.4732345896114589</v>
      </c>
      <c r="F862" s="9">
        <f t="shared" ca="1" si="82"/>
        <v>0.86467642807004474</v>
      </c>
      <c r="G862" s="10">
        <f t="shared" ca="1" si="83"/>
        <v>6.4298042006909419</v>
      </c>
    </row>
    <row r="863" spans="1:7">
      <c r="A863" s="8">
        <v>858</v>
      </c>
      <c r="B863" s="13">
        <f t="shared" ca="1" si="78"/>
        <v>0.69351072675648284</v>
      </c>
      <c r="C863" s="14">
        <f t="shared" ca="1" si="79"/>
        <v>17.738587826887041</v>
      </c>
      <c r="D863" s="13">
        <f t="shared" ca="1" si="80"/>
        <v>0.83745107559104448</v>
      </c>
      <c r="E863" s="14">
        <f t="shared" ca="1" si="81"/>
        <v>8.7999090266424922</v>
      </c>
      <c r="F863" s="13">
        <f t="shared" ca="1" si="82"/>
        <v>0.18359803221478266</v>
      </c>
      <c r="G863" s="10">
        <f t="shared" ca="1" si="83"/>
        <v>1.9327757902480098</v>
      </c>
    </row>
    <row r="864" spans="1:7">
      <c r="A864" s="8">
        <v>859</v>
      </c>
      <c r="B864" s="9">
        <f t="shared" ca="1" si="78"/>
        <v>9.7630148887955182E-2</v>
      </c>
      <c r="C864" s="10">
        <f t="shared" ca="1" si="79"/>
        <v>1.5409621270259142</v>
      </c>
      <c r="D864" s="9">
        <f t="shared" ca="1" si="80"/>
        <v>0.38260447518854734</v>
      </c>
      <c r="E864" s="10">
        <f t="shared" ca="1" si="81"/>
        <v>5.7633407930911025</v>
      </c>
      <c r="F864" s="9">
        <f t="shared" ca="1" si="82"/>
        <v>0.70383983041105735</v>
      </c>
      <c r="G864" s="10">
        <f t="shared" ca="1" si="83"/>
        <v>4.5781086565191922</v>
      </c>
    </row>
    <row r="865" spans="1:7">
      <c r="A865" s="8">
        <v>860</v>
      </c>
      <c r="B865" s="13">
        <f t="shared" ca="1" si="78"/>
        <v>0.2542897043879252</v>
      </c>
      <c r="C865" s="14">
        <f t="shared" ca="1" si="79"/>
        <v>4.4012714683028715</v>
      </c>
      <c r="D865" s="13">
        <f t="shared" ca="1" si="80"/>
        <v>0.93787943905657845</v>
      </c>
      <c r="E865" s="14">
        <f t="shared" ca="1" si="81"/>
        <v>10.02171909491206</v>
      </c>
      <c r="F865" s="13">
        <f t="shared" ca="1" si="82"/>
        <v>0.78450642333845544</v>
      </c>
      <c r="G865" s="10">
        <f t="shared" ca="1" si="83"/>
        <v>5.3254761621756401</v>
      </c>
    </row>
    <row r="866" spans="1:7">
      <c r="A866" s="8">
        <v>861</v>
      </c>
      <c r="B866" s="9">
        <f t="shared" ca="1" si="78"/>
        <v>0.17592030536769598</v>
      </c>
      <c r="C866" s="10">
        <f t="shared" ca="1" si="79"/>
        <v>2.9023205544398327</v>
      </c>
      <c r="D866" s="9">
        <f t="shared" ca="1" si="80"/>
        <v>0.380622477916156</v>
      </c>
      <c r="E866" s="10">
        <f t="shared" ca="1" si="81"/>
        <v>5.7533381801731753</v>
      </c>
      <c r="F866" s="9">
        <f t="shared" ca="1" si="82"/>
        <v>0.35879092761037179</v>
      </c>
      <c r="G866" s="10">
        <f t="shared" ca="1" si="83"/>
        <v>2.6724202390874692</v>
      </c>
    </row>
    <row r="867" spans="1:7">
      <c r="A867" s="8">
        <v>862</v>
      </c>
      <c r="B867" s="13">
        <f t="shared" ca="1" si="78"/>
        <v>0.30961622292646507</v>
      </c>
      <c r="C867" s="14">
        <f t="shared" ca="1" si="79"/>
        <v>5.5576145603201619</v>
      </c>
      <c r="D867" s="13">
        <f t="shared" ca="1" si="80"/>
        <v>0.96941756923609734</v>
      </c>
      <c r="E867" s="14">
        <f t="shared" ca="1" si="81"/>
        <v>10.611946276930944</v>
      </c>
      <c r="F867" s="13">
        <f t="shared" ca="1" si="82"/>
        <v>0.354699277433011</v>
      </c>
      <c r="G867" s="10">
        <f t="shared" ca="1" si="83"/>
        <v>2.6548857385394422</v>
      </c>
    </row>
    <row r="868" spans="1:7">
      <c r="A868" s="8">
        <v>863</v>
      </c>
      <c r="B868" s="9">
        <f t="shared" ca="1" si="78"/>
        <v>0.76589044261513262</v>
      </c>
      <c r="C868" s="10">
        <f t="shared" ca="1" si="79"/>
        <v>21.779491188609018</v>
      </c>
      <c r="D868" s="9">
        <f t="shared" ca="1" si="80"/>
        <v>0.9399318349640764</v>
      </c>
      <c r="E868" s="10">
        <f t="shared" ca="1" si="81"/>
        <v>10.054673704166012</v>
      </c>
      <c r="F868" s="9">
        <f t="shared" ca="1" si="82"/>
        <v>0.86248133951968387</v>
      </c>
      <c r="G868" s="10">
        <f t="shared" ca="1" si="83"/>
        <v>6.3911952349037957</v>
      </c>
    </row>
    <row r="869" spans="1:7">
      <c r="A869" s="8">
        <v>864</v>
      </c>
      <c r="B869" s="13">
        <f t="shared" ca="1" si="78"/>
        <v>0.40518221888962247</v>
      </c>
      <c r="C869" s="14">
        <f t="shared" ca="1" si="79"/>
        <v>7.7925025586301988</v>
      </c>
      <c r="D869" s="13">
        <f t="shared" ca="1" si="80"/>
        <v>0.8647996753107452</v>
      </c>
      <c r="E869" s="14">
        <f t="shared" ca="1" si="81"/>
        <v>9.081503733868578</v>
      </c>
      <c r="F869" s="13">
        <f t="shared" ca="1" si="82"/>
        <v>0.92142304113745543</v>
      </c>
      <c r="G869" s="10">
        <f t="shared" ca="1" si="83"/>
        <v>7.7587809653205735</v>
      </c>
    </row>
    <row r="870" spans="1:7">
      <c r="A870" s="8">
        <v>865</v>
      </c>
      <c r="B870" s="9">
        <f t="shared" ca="1" si="78"/>
        <v>0.3119535900429492</v>
      </c>
      <c r="C870" s="10">
        <f t="shared" ca="1" si="79"/>
        <v>5.6084848048642026</v>
      </c>
      <c r="D870" s="9">
        <f t="shared" ca="1" si="80"/>
        <v>0.6090553952046146</v>
      </c>
      <c r="E870" s="10">
        <f t="shared" ca="1" si="81"/>
        <v>7.0371872791622208</v>
      </c>
      <c r="F870" s="9">
        <f t="shared" ca="1" si="82"/>
        <v>0.85907430285985664</v>
      </c>
      <c r="G870" s="10">
        <f t="shared" ca="1" si="83"/>
        <v>6.3325423144153596</v>
      </c>
    </row>
    <row r="871" spans="1:7">
      <c r="A871" s="8">
        <v>866</v>
      </c>
      <c r="B871" s="13">
        <f t="shared" ca="1" si="78"/>
        <v>0.81110319266424458</v>
      </c>
      <c r="C871" s="14">
        <f t="shared" ca="1" si="79"/>
        <v>24.998316089451361</v>
      </c>
      <c r="D871" s="13">
        <f t="shared" ca="1" si="80"/>
        <v>0.75545515217466463</v>
      </c>
      <c r="E871" s="14">
        <f t="shared" ca="1" si="81"/>
        <v>8.0749107764286272</v>
      </c>
      <c r="F871" s="13">
        <f t="shared" ca="1" si="82"/>
        <v>0.22312392089875255</v>
      </c>
      <c r="G871" s="10">
        <f t="shared" ca="1" si="83"/>
        <v>2.1022092401546839</v>
      </c>
    </row>
    <row r="872" spans="1:7">
      <c r="A872" s="8">
        <v>867</v>
      </c>
      <c r="B872" s="9">
        <f t="shared" ca="1" si="78"/>
        <v>0.73974603160132091</v>
      </c>
      <c r="C872" s="10">
        <f t="shared" ca="1" si="79"/>
        <v>20.191459847901069</v>
      </c>
      <c r="D872" s="9">
        <f t="shared" ca="1" si="80"/>
        <v>0.20048185394468987</v>
      </c>
      <c r="E872" s="10">
        <f t="shared" ca="1" si="81"/>
        <v>4.8996508550268967</v>
      </c>
      <c r="F872" s="9">
        <f t="shared" ca="1" si="82"/>
        <v>0.95962444075283071</v>
      </c>
      <c r="G872" s="10">
        <f t="shared" ca="1" si="83"/>
        <v>9.466948835360645</v>
      </c>
    </row>
    <row r="873" spans="1:7">
      <c r="A873" s="8">
        <v>868</v>
      </c>
      <c r="B873" s="13">
        <f t="shared" ca="1" si="78"/>
        <v>0.12457189600914631</v>
      </c>
      <c r="C873" s="14">
        <f t="shared" ca="1" si="79"/>
        <v>1.9956337585525836</v>
      </c>
      <c r="D873" s="13">
        <f t="shared" ca="1" si="80"/>
        <v>0.31412343040301793</v>
      </c>
      <c r="E873" s="14">
        <f t="shared" ca="1" si="81"/>
        <v>5.4265515986957142</v>
      </c>
      <c r="F873" s="13">
        <f t="shared" ca="1" si="82"/>
        <v>0.72783152973564214</v>
      </c>
      <c r="G873" s="10">
        <f t="shared" ca="1" si="83"/>
        <v>4.7767513277855675</v>
      </c>
    </row>
    <row r="874" spans="1:7">
      <c r="A874" s="8">
        <v>869</v>
      </c>
      <c r="B874" s="9">
        <f t="shared" ca="1" si="78"/>
        <v>0.70939309739896628</v>
      </c>
      <c r="C874" s="10">
        <f t="shared" ca="1" si="79"/>
        <v>18.536756627992663</v>
      </c>
      <c r="D874" s="9">
        <f t="shared" ca="1" si="80"/>
        <v>0.81377928044960368</v>
      </c>
      <c r="E874" s="10">
        <f t="shared" ca="1" si="81"/>
        <v>8.574813095366185</v>
      </c>
      <c r="F874" s="9">
        <f t="shared" ca="1" si="82"/>
        <v>0.3055434953404077</v>
      </c>
      <c r="G874" s="10">
        <f t="shared" ca="1" si="83"/>
        <v>2.4470580884681081</v>
      </c>
    </row>
    <row r="875" spans="1:7">
      <c r="A875" s="8">
        <v>870</v>
      </c>
      <c r="B875" s="13">
        <f t="shared" ca="1" si="78"/>
        <v>0.19619116130120484</v>
      </c>
      <c r="C875" s="14">
        <f t="shared" ca="1" si="79"/>
        <v>3.2759070132850971</v>
      </c>
      <c r="D875" s="13">
        <f t="shared" ca="1" si="80"/>
        <v>0.58783035409364359</v>
      </c>
      <c r="E875" s="14">
        <f t="shared" ca="1" si="81"/>
        <v>6.9042480739246681</v>
      </c>
      <c r="F875" s="13">
        <f t="shared" ca="1" si="82"/>
        <v>0.39824810429351176</v>
      </c>
      <c r="G875" s="10">
        <f t="shared" ca="1" si="83"/>
        <v>2.844164710005979</v>
      </c>
    </row>
    <row r="876" spans="1:7">
      <c r="A876" s="8">
        <v>871</v>
      </c>
      <c r="B876" s="9">
        <f t="shared" ca="1" si="78"/>
        <v>0.98674383575688884</v>
      </c>
      <c r="C876" s="10">
        <f t="shared" ca="1" si="79"/>
        <v>64.849389132581081</v>
      </c>
      <c r="D876" s="9">
        <f t="shared" ca="1" si="80"/>
        <v>0.55249736481355327</v>
      </c>
      <c r="E876" s="10">
        <f t="shared" ca="1" si="81"/>
        <v>6.6903233604346353</v>
      </c>
      <c r="F876" s="9">
        <f t="shared" ca="1" si="82"/>
        <v>5.6010949155049228E-2</v>
      </c>
      <c r="G876" s="10">
        <f t="shared" ca="1" si="83"/>
        <v>1.279536218708045</v>
      </c>
    </row>
    <row r="877" spans="1:7">
      <c r="A877" s="8">
        <v>872</v>
      </c>
      <c r="B877" s="13">
        <f t="shared" ca="1" si="78"/>
        <v>0.55723015262641484</v>
      </c>
      <c r="C877" s="14">
        <f t="shared" ca="1" si="79"/>
        <v>12.220577637427853</v>
      </c>
      <c r="D877" s="13">
        <f t="shared" ca="1" si="80"/>
        <v>6.5780670391372698E-2</v>
      </c>
      <c r="E877" s="14">
        <f t="shared" ca="1" si="81"/>
        <v>4.0881415657186837</v>
      </c>
      <c r="F877" s="13">
        <f t="shared" ca="1" si="82"/>
        <v>0.48092184146513006</v>
      </c>
      <c r="G877" s="10">
        <f t="shared" ca="1" si="83"/>
        <v>3.2261708665415707</v>
      </c>
    </row>
    <row r="878" spans="1:7">
      <c r="A878" s="8">
        <v>873</v>
      </c>
      <c r="B878" s="9">
        <f t="shared" ca="1" si="78"/>
        <v>0.34219011324178983</v>
      </c>
      <c r="C878" s="10">
        <f t="shared" ca="1" si="79"/>
        <v>6.2825897295498834</v>
      </c>
      <c r="D878" s="9">
        <f t="shared" ca="1" si="80"/>
        <v>0.32692470574458987</v>
      </c>
      <c r="E878" s="10">
        <f t="shared" ca="1" si="81"/>
        <v>5.4881843132586408</v>
      </c>
      <c r="F878" s="9">
        <f t="shared" ca="1" si="82"/>
        <v>0.10684498608106185</v>
      </c>
      <c r="G878" s="10">
        <f t="shared" ca="1" si="83"/>
        <v>1.5744567858722001</v>
      </c>
    </row>
    <row r="879" spans="1:7">
      <c r="A879" s="8">
        <v>874</v>
      </c>
      <c r="B879" s="13">
        <f t="shared" ca="1" si="78"/>
        <v>0.55134850007343583</v>
      </c>
      <c r="C879" s="14">
        <f t="shared" ca="1" si="79"/>
        <v>12.022632930658755</v>
      </c>
      <c r="D879" s="13">
        <f t="shared" ca="1" si="80"/>
        <v>0.46763121382413975</v>
      </c>
      <c r="E879" s="14">
        <f t="shared" ca="1" si="81"/>
        <v>6.2086932796579326</v>
      </c>
      <c r="F879" s="13">
        <f t="shared" ca="1" si="82"/>
        <v>0.51749022184560411</v>
      </c>
      <c r="G879" s="10">
        <f t="shared" ca="1" si="83"/>
        <v>3.4086397898247212</v>
      </c>
    </row>
    <row r="880" spans="1:7">
      <c r="A880" s="8">
        <v>875</v>
      </c>
      <c r="B880" s="9">
        <f t="shared" ca="1" si="78"/>
        <v>0.38001755839941298</v>
      </c>
      <c r="C880" s="10">
        <f t="shared" ca="1" si="79"/>
        <v>7.1709618201460765</v>
      </c>
      <c r="D880" s="9">
        <f t="shared" ca="1" si="80"/>
        <v>0.72699442573404405</v>
      </c>
      <c r="E880" s="10">
        <f t="shared" ca="1" si="81"/>
        <v>7.8527899524191902</v>
      </c>
      <c r="F880" s="9">
        <f t="shared" ca="1" si="82"/>
        <v>0.50968978973342316</v>
      </c>
      <c r="G880" s="10">
        <f t="shared" ca="1" si="83"/>
        <v>3.3688608271741245</v>
      </c>
    </row>
    <row r="881" spans="1:7">
      <c r="A881" s="8">
        <v>876</v>
      </c>
      <c r="B881" s="13">
        <f t="shared" ca="1" si="78"/>
        <v>0.9513818046242869</v>
      </c>
      <c r="C881" s="14">
        <f t="shared" ca="1" si="79"/>
        <v>45.356361415432993</v>
      </c>
      <c r="D881" s="13">
        <f t="shared" ca="1" si="80"/>
        <v>0.92565882607983185</v>
      </c>
      <c r="E881" s="14">
        <f t="shared" ca="1" si="81"/>
        <v>9.8358618442967671</v>
      </c>
      <c r="F881" s="13">
        <f t="shared" ca="1" si="82"/>
        <v>9.734045456745466E-2</v>
      </c>
      <c r="G881" s="10">
        <f t="shared" ca="1" si="83"/>
        <v>1.524835747951746</v>
      </c>
    </row>
    <row r="882" spans="1:7">
      <c r="A882" s="8">
        <v>877</v>
      </c>
      <c r="B882" s="9">
        <f t="shared" ca="1" si="78"/>
        <v>0.36472835424186512</v>
      </c>
      <c r="C882" s="10">
        <f t="shared" ca="1" si="79"/>
        <v>6.8055387445411721</v>
      </c>
      <c r="D882" s="9">
        <f t="shared" ca="1" si="80"/>
        <v>8.8913666305760586E-2</v>
      </c>
      <c r="E882" s="10">
        <f t="shared" ca="1" si="81"/>
        <v>4.2650873461953882</v>
      </c>
      <c r="F882" s="9">
        <f t="shared" ca="1" si="82"/>
        <v>0.72097814873982657</v>
      </c>
      <c r="G882" s="10">
        <f t="shared" ca="1" si="83"/>
        <v>4.7183060363583209</v>
      </c>
    </row>
    <row r="883" spans="1:7">
      <c r="A883" s="8">
        <v>878</v>
      </c>
      <c r="B883" s="13">
        <f t="shared" ca="1" si="78"/>
        <v>0.8492337525889968</v>
      </c>
      <c r="C883" s="14">
        <f t="shared" ca="1" si="79"/>
        <v>28.380370079924528</v>
      </c>
      <c r="D883" s="13">
        <f t="shared" ca="1" si="80"/>
        <v>0.41305090676542533</v>
      </c>
      <c r="E883" s="14">
        <f t="shared" ca="1" si="81"/>
        <v>5.9190631582149944</v>
      </c>
      <c r="F883" s="13">
        <f t="shared" ca="1" si="82"/>
        <v>0.9630918340734872</v>
      </c>
      <c r="G883" s="10">
        <f t="shared" ca="1" si="83"/>
        <v>9.7050859322156917</v>
      </c>
    </row>
    <row r="884" spans="1:7">
      <c r="A884" s="8">
        <v>879</v>
      </c>
      <c r="B884" s="9">
        <f t="shared" ca="1" si="78"/>
        <v>0.10775945662137532</v>
      </c>
      <c r="C884" s="10">
        <f t="shared" ca="1" si="79"/>
        <v>1.710292729365557</v>
      </c>
      <c r="D884" s="9">
        <f t="shared" ca="1" si="80"/>
        <v>0.54130533693432259</v>
      </c>
      <c r="E884" s="10">
        <f t="shared" ca="1" si="81"/>
        <v>6.6243359690976149</v>
      </c>
      <c r="F884" s="9">
        <f t="shared" ca="1" si="82"/>
        <v>0.9919047439171812</v>
      </c>
      <c r="G884" s="10">
        <f t="shared" ca="1" si="83"/>
        <v>14.051869489795379</v>
      </c>
    </row>
    <row r="885" spans="1:7">
      <c r="A885" s="8">
        <v>880</v>
      </c>
      <c r="B885" s="13">
        <f t="shared" ca="1" si="78"/>
        <v>0.36784956713601535</v>
      </c>
      <c r="C885" s="14">
        <f t="shared" ca="1" si="79"/>
        <v>6.8794182971342428</v>
      </c>
      <c r="D885" s="13">
        <f t="shared" ca="1" si="80"/>
        <v>0.685220087698026</v>
      </c>
      <c r="E885" s="14">
        <f t="shared" ca="1" si="81"/>
        <v>7.5467838054924439</v>
      </c>
      <c r="F885" s="13">
        <f t="shared" ca="1" si="82"/>
        <v>0.23035182312219871</v>
      </c>
      <c r="G885" s="10">
        <f t="shared" ca="1" si="83"/>
        <v>2.1326957412907963</v>
      </c>
    </row>
    <row r="886" spans="1:7">
      <c r="A886" s="8">
        <v>881</v>
      </c>
      <c r="B886" s="9">
        <f t="shared" ca="1" si="78"/>
        <v>5.5112236503547241E-2</v>
      </c>
      <c r="C886" s="10">
        <f t="shared" ca="1" si="79"/>
        <v>0.85033690993181454</v>
      </c>
      <c r="D886" s="9">
        <f t="shared" ca="1" si="80"/>
        <v>4.8949868092520332E-2</v>
      </c>
      <c r="E886" s="10">
        <f t="shared" ca="1" si="81"/>
        <v>3.9386680060944688</v>
      </c>
      <c r="F886" s="9">
        <f t="shared" ca="1" si="82"/>
        <v>0.91927770598356229</v>
      </c>
      <c r="G886" s="10">
        <f t="shared" ca="1" si="83"/>
        <v>7.6916685240983362</v>
      </c>
    </row>
    <row r="887" spans="1:7">
      <c r="A887" s="8">
        <v>882</v>
      </c>
      <c r="B887" s="13">
        <f t="shared" ca="1" si="78"/>
        <v>0.79621350945561997</v>
      </c>
      <c r="C887" s="14">
        <f t="shared" ca="1" si="79"/>
        <v>23.860236723005428</v>
      </c>
      <c r="D887" s="13">
        <f t="shared" ca="1" si="80"/>
        <v>0.76054393723713565</v>
      </c>
      <c r="E887" s="14">
        <f t="shared" ca="1" si="81"/>
        <v>8.1159644756953551</v>
      </c>
      <c r="F887" s="13">
        <f t="shared" ca="1" si="82"/>
        <v>0.62255453763124635</v>
      </c>
      <c r="G887" s="10">
        <f t="shared" ca="1" si="83"/>
        <v>4.0040970960161211</v>
      </c>
    </row>
    <row r="888" spans="1:7">
      <c r="A888" s="8">
        <v>883</v>
      </c>
      <c r="B888" s="9">
        <f t="shared" ca="1" si="78"/>
        <v>0.34049821062704599</v>
      </c>
      <c r="C888" s="10">
        <f t="shared" ca="1" si="79"/>
        <v>6.2440589040274714</v>
      </c>
      <c r="D888" s="9">
        <f t="shared" ca="1" si="80"/>
        <v>0.42264693929195429</v>
      </c>
      <c r="E888" s="10">
        <f t="shared" ca="1" si="81"/>
        <v>5.9689766353787954</v>
      </c>
      <c r="F888" s="9">
        <f t="shared" ca="1" si="82"/>
        <v>0.8327565035131127</v>
      </c>
      <c r="G888" s="10">
        <f t="shared" ca="1" si="83"/>
        <v>5.9243398647251517</v>
      </c>
    </row>
    <row r="889" spans="1:7">
      <c r="A889" s="8">
        <v>884</v>
      </c>
      <c r="B889" s="13">
        <f t="shared" ca="1" si="78"/>
        <v>0.11499665586613395</v>
      </c>
      <c r="C889" s="14">
        <f t="shared" ca="1" si="79"/>
        <v>1.8324578294851832</v>
      </c>
      <c r="D889" s="13">
        <f t="shared" ca="1" si="80"/>
        <v>0.48836659286833251</v>
      </c>
      <c r="E889" s="14">
        <f t="shared" ca="1" si="81"/>
        <v>6.3225970154220112</v>
      </c>
      <c r="F889" s="13">
        <f t="shared" ca="1" si="82"/>
        <v>0.85847017298948947</v>
      </c>
      <c r="G889" s="10">
        <f t="shared" ca="1" si="83"/>
        <v>6.3222986563186021</v>
      </c>
    </row>
    <row r="890" spans="1:7">
      <c r="A890" s="8">
        <v>885</v>
      </c>
      <c r="B890" s="9">
        <f t="shared" ca="1" si="78"/>
        <v>0.42947063430511578</v>
      </c>
      <c r="C890" s="10">
        <f t="shared" ca="1" si="79"/>
        <v>8.4178595609109426</v>
      </c>
      <c r="D890" s="9">
        <f t="shared" ca="1" si="80"/>
        <v>0.5772411582438538</v>
      </c>
      <c r="E890" s="10">
        <f t="shared" ca="1" si="81"/>
        <v>6.8392048063658626</v>
      </c>
      <c r="F890" s="9">
        <f t="shared" ca="1" si="82"/>
        <v>0.64931217210165892</v>
      </c>
      <c r="G890" s="10">
        <f t="shared" ca="1" si="83"/>
        <v>4.1790271599032014</v>
      </c>
    </row>
    <row r="891" spans="1:7">
      <c r="A891" s="8">
        <v>886</v>
      </c>
      <c r="B891" s="13">
        <f t="shared" ca="1" si="78"/>
        <v>0.15080904568899722</v>
      </c>
      <c r="C891" s="14">
        <f t="shared" ca="1" si="79"/>
        <v>2.4520680183337227</v>
      </c>
      <c r="D891" s="13">
        <f t="shared" ca="1" si="80"/>
        <v>0.10680571737711109</v>
      </c>
      <c r="E891" s="14">
        <f t="shared" ca="1" si="81"/>
        <v>4.3865435127640247</v>
      </c>
      <c r="F891" s="13">
        <f t="shared" ca="1" si="82"/>
        <v>0.93644303991842237</v>
      </c>
      <c r="G891" s="10">
        <f t="shared" ca="1" si="83"/>
        <v>8.292482543238755</v>
      </c>
    </row>
    <row r="892" spans="1:7">
      <c r="A892" s="8">
        <v>887</v>
      </c>
      <c r="B892" s="9">
        <f t="shared" ca="1" si="78"/>
        <v>0.19219613851691342</v>
      </c>
      <c r="C892" s="10">
        <f t="shared" ca="1" si="79"/>
        <v>3.2015399342669193</v>
      </c>
      <c r="D892" s="9">
        <f t="shared" ca="1" si="80"/>
        <v>0.79148276130515638</v>
      </c>
      <c r="E892" s="10">
        <f t="shared" ca="1" si="81"/>
        <v>8.3755571410525533</v>
      </c>
      <c r="F892" s="9">
        <f t="shared" ca="1" si="82"/>
        <v>0.59558060665131551</v>
      </c>
      <c r="G892" s="10">
        <f t="shared" ca="1" si="83"/>
        <v>3.838779994235662</v>
      </c>
    </row>
    <row r="893" spans="1:7">
      <c r="A893" s="8">
        <v>888</v>
      </c>
      <c r="B893" s="13">
        <f t="shared" ca="1" si="78"/>
        <v>0.8931754435754381</v>
      </c>
      <c r="C893" s="14">
        <f t="shared" ca="1" si="79"/>
        <v>33.548511747251226</v>
      </c>
      <c r="D893" s="13">
        <f t="shared" ca="1" si="80"/>
        <v>0.84851458919440892</v>
      </c>
      <c r="E893" s="14">
        <f t="shared" ca="1" si="81"/>
        <v>8.9107313356148126</v>
      </c>
      <c r="F893" s="13">
        <f t="shared" ca="1" si="82"/>
        <v>0.57995331648385695</v>
      </c>
      <c r="G893" s="10">
        <f t="shared" ca="1" si="83"/>
        <v>3.7474081154508654</v>
      </c>
    </row>
    <row r="894" spans="1:7">
      <c r="A894" s="8">
        <v>889</v>
      </c>
      <c r="B894" s="9">
        <f t="shared" ca="1" si="78"/>
        <v>0.93927696835586105</v>
      </c>
      <c r="C894" s="10">
        <f t="shared" ca="1" si="79"/>
        <v>42.021483283169687</v>
      </c>
      <c r="D894" s="9">
        <f t="shared" ca="1" si="80"/>
        <v>0.58040602329594759</v>
      </c>
      <c r="E894" s="10">
        <f t="shared" ca="1" si="81"/>
        <v>6.8585585161012181</v>
      </c>
      <c r="F894" s="9">
        <f t="shared" ca="1" si="82"/>
        <v>0.59943378481600373</v>
      </c>
      <c r="G894" s="10">
        <f t="shared" ca="1" si="83"/>
        <v>3.8617833241956596</v>
      </c>
    </row>
    <row r="895" spans="1:7">
      <c r="A895" s="8">
        <v>890</v>
      </c>
      <c r="B895" s="13">
        <f t="shared" ca="1" si="78"/>
        <v>0.93650309284586453</v>
      </c>
      <c r="C895" s="14">
        <f t="shared" ca="1" si="79"/>
        <v>41.351461207556483</v>
      </c>
      <c r="D895" s="13">
        <f t="shared" ca="1" si="80"/>
        <v>0.64906451563705614</v>
      </c>
      <c r="E895" s="14">
        <f t="shared" ca="1" si="81"/>
        <v>7.2979860150287239</v>
      </c>
      <c r="F895" s="13">
        <f t="shared" ca="1" si="82"/>
        <v>0.496954209594616</v>
      </c>
      <c r="G895" s="10">
        <f t="shared" ca="1" si="83"/>
        <v>3.3049427697445779</v>
      </c>
    </row>
    <row r="896" spans="1:7">
      <c r="A896" s="8">
        <v>891</v>
      </c>
      <c r="B896" s="9">
        <f t="shared" ca="1" si="78"/>
        <v>0.79703454752461933</v>
      </c>
      <c r="C896" s="10">
        <f t="shared" ca="1" si="79"/>
        <v>23.920792489106642</v>
      </c>
      <c r="D896" s="9">
        <f t="shared" ca="1" si="80"/>
        <v>0.28651177240184078</v>
      </c>
      <c r="E896" s="10">
        <f t="shared" ca="1" si="81"/>
        <v>5.2955419056657513</v>
      </c>
      <c r="F896" s="9">
        <f t="shared" ca="1" si="82"/>
        <v>0.13750572931420935</v>
      </c>
      <c r="G896" s="10">
        <f t="shared" ca="1" si="83"/>
        <v>1.7246832570817894</v>
      </c>
    </row>
    <row r="897" spans="1:7">
      <c r="A897" s="8">
        <v>892</v>
      </c>
      <c r="B897" s="13">
        <f t="shared" ca="1" si="78"/>
        <v>0.68483229888985309</v>
      </c>
      <c r="C897" s="14">
        <f t="shared" ca="1" si="79"/>
        <v>17.319755960192762</v>
      </c>
      <c r="D897" s="13">
        <f t="shared" ca="1" si="80"/>
        <v>0.67564658468388861</v>
      </c>
      <c r="E897" s="14">
        <f t="shared" ca="1" si="81"/>
        <v>7.4795724577297982</v>
      </c>
      <c r="F897" s="13">
        <f t="shared" ca="1" si="82"/>
        <v>4.617838877987257E-2</v>
      </c>
      <c r="G897" s="10">
        <f t="shared" ca="1" si="83"/>
        <v>1.209422814988053</v>
      </c>
    </row>
    <row r="898" spans="1:7">
      <c r="A898" s="8">
        <v>893</v>
      </c>
      <c r="B898" s="9">
        <f t="shared" ca="1" si="78"/>
        <v>0.36973861174297262</v>
      </c>
      <c r="C898" s="10">
        <f t="shared" ca="1" si="79"/>
        <v>6.9243096547396465</v>
      </c>
      <c r="D898" s="9">
        <f t="shared" ca="1" si="80"/>
        <v>5.3674581260531484E-2</v>
      </c>
      <c r="E898" s="10">
        <f t="shared" ca="1" si="81"/>
        <v>3.9829254614107659</v>
      </c>
      <c r="F898" s="9">
        <f t="shared" ca="1" si="82"/>
        <v>0.24856758481218488</v>
      </c>
      <c r="G898" s="10">
        <f t="shared" ca="1" si="83"/>
        <v>2.209127078752096</v>
      </c>
    </row>
    <row r="899" spans="1:7">
      <c r="A899" s="8">
        <v>894</v>
      </c>
      <c r="B899" s="13">
        <f t="shared" ca="1" si="78"/>
        <v>0.67789547533681815</v>
      </c>
      <c r="C899" s="14">
        <f t="shared" ca="1" si="79"/>
        <v>16.993187630357667</v>
      </c>
      <c r="D899" s="13">
        <f t="shared" ca="1" si="80"/>
        <v>0.99625740679094743</v>
      </c>
      <c r="E899" s="14">
        <f t="shared" ca="1" si="81"/>
        <v>11.51442469979383</v>
      </c>
      <c r="F899" s="13">
        <f t="shared" ca="1" si="82"/>
        <v>0.61690805591171005</v>
      </c>
      <c r="G899" s="10">
        <f t="shared" ca="1" si="83"/>
        <v>3.9686346676960214</v>
      </c>
    </row>
    <row r="900" spans="1:7">
      <c r="A900" s="8">
        <v>895</v>
      </c>
      <c r="B900" s="9">
        <f t="shared" ca="1" si="78"/>
        <v>0.4852388826037447</v>
      </c>
      <c r="C900" s="10">
        <f t="shared" ca="1" si="79"/>
        <v>9.9607850346895184</v>
      </c>
      <c r="D900" s="9">
        <f t="shared" ca="1" si="80"/>
        <v>0.69227156723611116</v>
      </c>
      <c r="E900" s="10">
        <f t="shared" ca="1" si="81"/>
        <v>7.5969452349391569</v>
      </c>
      <c r="F900" s="9">
        <f t="shared" ca="1" si="82"/>
        <v>0.80298220621559024</v>
      </c>
      <c r="G900" s="10">
        <f t="shared" ca="1" si="83"/>
        <v>5.5366686646125434</v>
      </c>
    </row>
    <row r="901" spans="1:7">
      <c r="A901" s="8">
        <v>896</v>
      </c>
      <c r="B901" s="13">
        <f t="shared" ca="1" si="78"/>
        <v>0.62385838331730092</v>
      </c>
      <c r="C901" s="14">
        <f t="shared" ca="1" si="79"/>
        <v>14.666843495846461</v>
      </c>
      <c r="D901" s="13">
        <f t="shared" ca="1" si="80"/>
        <v>0.15726417499914369</v>
      </c>
      <c r="E901" s="14">
        <f t="shared" ca="1" si="81"/>
        <v>4.6824848141913753</v>
      </c>
      <c r="F901" s="13">
        <f t="shared" ca="1" si="82"/>
        <v>0.27340658170168375</v>
      </c>
      <c r="G901" s="10">
        <f t="shared" ca="1" si="83"/>
        <v>2.312836222613933</v>
      </c>
    </row>
    <row r="902" spans="1:7">
      <c r="A902" s="8">
        <v>897</v>
      </c>
      <c r="B902" s="9">
        <f t="shared" ref="B902:B965" ca="1" si="84">RAND()</f>
        <v>0.64380552767842181</v>
      </c>
      <c r="C902" s="10">
        <f t="shared" ref="C902:C965" ca="1" si="85">-$J$6 * LN(1 - B902)</f>
        <v>15.48417640072989</v>
      </c>
      <c r="D902" s="9">
        <f t="shared" ref="D902:D965" ca="1" si="86">RAND()</f>
        <v>0.97099632756226262</v>
      </c>
      <c r="E902" s="10">
        <f t="shared" ref="E902:E965" ca="1" si="87">IF(D902&lt;=$N$9, $N$6+SQRT(D902*($N$8-$N$6)*($N$7-$N$6)), $N$8-SQRT((1-D902)*($N$8-$N$6)*($N$8-$N$7)))</f>
        <v>10.648248778962099</v>
      </c>
      <c r="F902" s="9">
        <f t="shared" ref="F902:F965" ca="1" si="88">RAND()</f>
        <v>0.82783808754683841</v>
      </c>
      <c r="G902" s="10">
        <f t="shared" ca="1" si="83"/>
        <v>5.85557319106249</v>
      </c>
    </row>
    <row r="903" spans="1:7">
      <c r="A903" s="8">
        <v>898</v>
      </c>
      <c r="B903" s="13">
        <f t="shared" ca="1" si="84"/>
        <v>0.32938841021229948</v>
      </c>
      <c r="C903" s="14">
        <f t="shared" ca="1" si="85"/>
        <v>5.9934774357871854</v>
      </c>
      <c r="D903" s="13">
        <f t="shared" ca="1" si="86"/>
        <v>0.5809822883289778</v>
      </c>
      <c r="E903" s="14">
        <f t="shared" ca="1" si="87"/>
        <v>6.8620903243367151</v>
      </c>
      <c r="F903" s="13">
        <f t="shared" ca="1" si="88"/>
        <v>0.66418326218835977</v>
      </c>
      <c r="G903" s="10">
        <f t="shared" ref="G903:G966" ca="1" si="89">_xlfn.LOGNORM.INV(F903, $R$6, $R$7)</f>
        <v>4.2816751975985188</v>
      </c>
    </row>
    <row r="904" spans="1:7">
      <c r="A904" s="8">
        <v>899</v>
      </c>
      <c r="B904" s="9">
        <f t="shared" ca="1" si="84"/>
        <v>0.39215275622006729</v>
      </c>
      <c r="C904" s="10">
        <f t="shared" ca="1" si="85"/>
        <v>7.467475085489732</v>
      </c>
      <c r="D904" s="9">
        <f t="shared" ca="1" si="86"/>
        <v>0.10786075270835138</v>
      </c>
      <c r="E904" s="10">
        <f t="shared" ca="1" si="87"/>
        <v>4.3933748773213637</v>
      </c>
      <c r="F904" s="9">
        <f t="shared" ca="1" si="88"/>
        <v>0.46718602423084432</v>
      </c>
      <c r="G904" s="10">
        <f t="shared" ca="1" si="89"/>
        <v>3.1600655042445207</v>
      </c>
    </row>
    <row r="905" spans="1:7">
      <c r="A905" s="8">
        <v>900</v>
      </c>
      <c r="B905" s="13">
        <f t="shared" ca="1" si="84"/>
        <v>0.30162015763441041</v>
      </c>
      <c r="C905" s="14">
        <f t="shared" ca="1" si="85"/>
        <v>5.3848820619825437</v>
      </c>
      <c r="D905" s="13">
        <f t="shared" ca="1" si="86"/>
        <v>0.38850741388349852</v>
      </c>
      <c r="E905" s="14">
        <f t="shared" ca="1" si="87"/>
        <v>5.7932268508234017</v>
      </c>
      <c r="F905" s="13">
        <f t="shared" ca="1" si="88"/>
        <v>0.64267064568815901</v>
      </c>
      <c r="G905" s="10">
        <f t="shared" ca="1" si="89"/>
        <v>4.1344897063197621</v>
      </c>
    </row>
    <row r="906" spans="1:7">
      <c r="A906" s="8">
        <v>901</v>
      </c>
      <c r="B906" s="9">
        <f t="shared" ca="1" si="84"/>
        <v>0.10982078232740222</v>
      </c>
      <c r="C906" s="10">
        <f t="shared" ca="1" si="85"/>
        <v>1.7449870253451334</v>
      </c>
      <c r="D906" s="9">
        <f t="shared" ca="1" si="86"/>
        <v>0.34231207074953063</v>
      </c>
      <c r="E906" s="10">
        <f t="shared" ca="1" si="87"/>
        <v>5.5630488938644591</v>
      </c>
      <c r="F906" s="9">
        <f t="shared" ca="1" si="88"/>
        <v>0.43736786423243157</v>
      </c>
      <c r="G906" s="10">
        <f t="shared" ca="1" si="89"/>
        <v>3.0204697950288883</v>
      </c>
    </row>
    <row r="907" spans="1:7">
      <c r="A907" s="8">
        <v>902</v>
      </c>
      <c r="B907" s="13">
        <f t="shared" ca="1" si="84"/>
        <v>0.96089570213936226</v>
      </c>
      <c r="C907" s="14">
        <f t="shared" ca="1" si="85"/>
        <v>48.622843474832109</v>
      </c>
      <c r="D907" s="13">
        <f t="shared" ca="1" si="86"/>
        <v>0.68091500430165219</v>
      </c>
      <c r="E907" s="14">
        <f t="shared" ca="1" si="87"/>
        <v>7.5164350424025397</v>
      </c>
      <c r="F907" s="13">
        <f t="shared" ca="1" si="88"/>
        <v>0.63379774039121373</v>
      </c>
      <c r="G907" s="10">
        <f t="shared" ca="1" si="89"/>
        <v>4.0761676476312516</v>
      </c>
    </row>
    <row r="908" spans="1:7">
      <c r="A908" s="8">
        <v>903</v>
      </c>
      <c r="B908" s="9">
        <f t="shared" ca="1" si="84"/>
        <v>0.42792817237746528</v>
      </c>
      <c r="C908" s="10">
        <f t="shared" ca="1" si="85"/>
        <v>8.3773608407890485</v>
      </c>
      <c r="D908" s="9">
        <f t="shared" ca="1" si="86"/>
        <v>0.11476549255955437</v>
      </c>
      <c r="E908" s="10">
        <f t="shared" ca="1" si="87"/>
        <v>4.4372817629372392</v>
      </c>
      <c r="F908" s="9">
        <f t="shared" ca="1" si="88"/>
        <v>0.45884871470177324</v>
      </c>
      <c r="G908" s="10">
        <f t="shared" ca="1" si="89"/>
        <v>3.1205187384037765</v>
      </c>
    </row>
    <row r="909" spans="1:7">
      <c r="A909" s="8">
        <v>904</v>
      </c>
      <c r="B909" s="13">
        <f t="shared" ca="1" si="84"/>
        <v>0.95817548310604195</v>
      </c>
      <c r="C909" s="14">
        <f t="shared" ca="1" si="85"/>
        <v>47.614088742427285</v>
      </c>
      <c r="D909" s="13">
        <f t="shared" ca="1" si="86"/>
        <v>0.65837780060864293</v>
      </c>
      <c r="E909" s="14">
        <f t="shared" ca="1" si="87"/>
        <v>7.3607976373458879</v>
      </c>
      <c r="F909" s="13">
        <f t="shared" ca="1" si="88"/>
        <v>0.90328786584490617</v>
      </c>
      <c r="G909" s="10">
        <f t="shared" ca="1" si="89"/>
        <v>7.2449845151777215</v>
      </c>
    </row>
    <row r="910" spans="1:7">
      <c r="A910" s="8">
        <v>905</v>
      </c>
      <c r="B910" s="9">
        <f t="shared" ca="1" si="84"/>
        <v>0.36281831755534832</v>
      </c>
      <c r="C910" s="10">
        <f t="shared" ca="1" si="85"/>
        <v>6.7605067246136228</v>
      </c>
      <c r="D910" s="9">
        <f t="shared" ca="1" si="86"/>
        <v>0.20587208073507723</v>
      </c>
      <c r="E910" s="10">
        <f t="shared" ca="1" si="87"/>
        <v>4.9250188189291526</v>
      </c>
      <c r="F910" s="9">
        <f t="shared" ca="1" si="88"/>
        <v>0.41758688425559265</v>
      </c>
      <c r="G910" s="10">
        <f t="shared" ca="1" si="89"/>
        <v>2.9304546542550818</v>
      </c>
    </row>
    <row r="911" spans="1:7">
      <c r="A911" s="8">
        <v>906</v>
      </c>
      <c r="B911" s="13">
        <f t="shared" ca="1" si="84"/>
        <v>0.74289188550582663</v>
      </c>
      <c r="C911" s="14">
        <f t="shared" ca="1" si="85"/>
        <v>20.373879053727752</v>
      </c>
      <c r="D911" s="13">
        <f t="shared" ca="1" si="86"/>
        <v>0.8580772697104071</v>
      </c>
      <c r="E911" s="14">
        <f t="shared" ca="1" si="87"/>
        <v>9.0098274283506061</v>
      </c>
      <c r="F911" s="13">
        <f t="shared" ca="1" si="88"/>
        <v>0.36453292928660264</v>
      </c>
      <c r="G911" s="10">
        <f t="shared" ca="1" si="89"/>
        <v>2.6971049330803725</v>
      </c>
    </row>
    <row r="912" spans="1:7">
      <c r="A912" s="8">
        <v>907</v>
      </c>
      <c r="B912" s="9">
        <f t="shared" ca="1" si="84"/>
        <v>2.6790101702213298E-2</v>
      </c>
      <c r="C912" s="10">
        <f t="shared" ca="1" si="85"/>
        <v>0.40733245870791346</v>
      </c>
      <c r="D912" s="9">
        <f t="shared" ca="1" si="86"/>
        <v>0.36352129324132887</v>
      </c>
      <c r="E912" s="10">
        <f t="shared" ca="1" si="87"/>
        <v>5.6676893217565292</v>
      </c>
      <c r="F912" s="9">
        <f t="shared" ca="1" si="88"/>
        <v>0.76942892724376244</v>
      </c>
      <c r="G912" s="10">
        <f t="shared" ca="1" si="89"/>
        <v>5.1664224611630019</v>
      </c>
    </row>
    <row r="913" spans="1:7">
      <c r="A913" s="8">
        <v>908</v>
      </c>
      <c r="B913" s="13">
        <f t="shared" ca="1" si="84"/>
        <v>0.32888378108729233</v>
      </c>
      <c r="C913" s="14">
        <f t="shared" ca="1" si="85"/>
        <v>5.9821943168372274</v>
      </c>
      <c r="D913" s="13">
        <f t="shared" ca="1" si="86"/>
        <v>0.28735144240007782</v>
      </c>
      <c r="E913" s="14">
        <f t="shared" ca="1" si="87"/>
        <v>5.2994881442687456</v>
      </c>
      <c r="F913" s="13">
        <f t="shared" ca="1" si="88"/>
        <v>0.93441891355507845</v>
      </c>
      <c r="G913" s="10">
        <f t="shared" ca="1" si="89"/>
        <v>8.2130214049482895</v>
      </c>
    </row>
    <row r="914" spans="1:7">
      <c r="A914" s="8">
        <v>909</v>
      </c>
      <c r="B914" s="9">
        <f t="shared" ca="1" si="84"/>
        <v>0.10450452646363917</v>
      </c>
      <c r="C914" s="10">
        <f t="shared" ca="1" si="85"/>
        <v>1.6556716825736428</v>
      </c>
      <c r="D914" s="9">
        <f t="shared" ca="1" si="86"/>
        <v>0.5724163944072902</v>
      </c>
      <c r="E914" s="10">
        <f t="shared" ca="1" si="87"/>
        <v>6.8098393905062329</v>
      </c>
      <c r="F914" s="9">
        <f t="shared" ca="1" si="88"/>
        <v>0.33146512431740893</v>
      </c>
      <c r="G914" s="10">
        <f t="shared" ca="1" si="89"/>
        <v>2.5560863912385896</v>
      </c>
    </row>
    <row r="915" spans="1:7">
      <c r="A915" s="8">
        <v>910</v>
      </c>
      <c r="B915" s="13">
        <f t="shared" ca="1" si="84"/>
        <v>0.10972801127274812</v>
      </c>
      <c r="C915" s="14">
        <f t="shared" ca="1" si="85"/>
        <v>1.74342386448336</v>
      </c>
      <c r="D915" s="13">
        <f t="shared" ca="1" si="86"/>
        <v>0.83972229507047014</v>
      </c>
      <c r="E915" s="14">
        <f t="shared" ca="1" si="87"/>
        <v>8.8223443530551684</v>
      </c>
      <c r="F915" s="13">
        <f t="shared" ca="1" si="88"/>
        <v>0.75744755101867101</v>
      </c>
      <c r="G915" s="10">
        <f t="shared" ca="1" si="89"/>
        <v>5.0473803429074682</v>
      </c>
    </row>
    <row r="916" spans="1:7">
      <c r="A916" s="8">
        <v>911</v>
      </c>
      <c r="B916" s="9">
        <f t="shared" ca="1" si="84"/>
        <v>0.23103897965125408</v>
      </c>
      <c r="C916" s="10">
        <f t="shared" ca="1" si="85"/>
        <v>3.9407249927170147</v>
      </c>
      <c r="D916" s="9">
        <f t="shared" ca="1" si="86"/>
        <v>0.92968074841355652</v>
      </c>
      <c r="E916" s="10">
        <f t="shared" ca="1" si="87"/>
        <v>9.8952166738721203</v>
      </c>
      <c r="F916" s="9">
        <f t="shared" ca="1" si="88"/>
        <v>0.41126484782420902</v>
      </c>
      <c r="G916" s="10">
        <f t="shared" ca="1" si="89"/>
        <v>2.902070615707367</v>
      </c>
    </row>
    <row r="917" spans="1:7">
      <c r="A917" s="8">
        <v>912</v>
      </c>
      <c r="B917" s="13">
        <f t="shared" ca="1" si="84"/>
        <v>0.5953052109955147</v>
      </c>
      <c r="C917" s="14">
        <f t="shared" ca="1" si="85"/>
        <v>13.569331550650935</v>
      </c>
      <c r="D917" s="13">
        <f t="shared" ca="1" si="86"/>
        <v>0.10467617749158908</v>
      </c>
      <c r="E917" s="14">
        <f t="shared" ca="1" si="87"/>
        <v>4.3726511555557748</v>
      </c>
      <c r="F917" s="13">
        <f t="shared" ca="1" si="88"/>
        <v>0.85618183630845168</v>
      </c>
      <c r="G917" s="10">
        <f t="shared" ca="1" si="89"/>
        <v>6.2839119134318171</v>
      </c>
    </row>
    <row r="918" spans="1:7">
      <c r="A918" s="8">
        <v>913</v>
      </c>
      <c r="B918" s="9">
        <f t="shared" ca="1" si="84"/>
        <v>0.87299174749738384</v>
      </c>
      <c r="C918" s="10">
        <f t="shared" ca="1" si="85"/>
        <v>30.95254821448674</v>
      </c>
      <c r="D918" s="9">
        <f t="shared" ca="1" si="86"/>
        <v>0.94809087204811726</v>
      </c>
      <c r="E918" s="10">
        <f t="shared" ca="1" si="87"/>
        <v>10.191609815065174</v>
      </c>
      <c r="F918" s="9">
        <f t="shared" ca="1" si="88"/>
        <v>0.2918491957845839</v>
      </c>
      <c r="G918" s="10">
        <f t="shared" ca="1" si="89"/>
        <v>2.3897904157976217</v>
      </c>
    </row>
    <row r="919" spans="1:7">
      <c r="A919" s="8">
        <v>914</v>
      </c>
      <c r="B919" s="13">
        <f t="shared" ca="1" si="84"/>
        <v>0.20907786268923301</v>
      </c>
      <c r="C919" s="14">
        <f t="shared" ca="1" si="85"/>
        <v>3.5183362773522884</v>
      </c>
      <c r="D919" s="13">
        <f t="shared" ca="1" si="86"/>
        <v>0.9775647155674968</v>
      </c>
      <c r="E919" s="14">
        <f t="shared" ca="1" si="87"/>
        <v>10.81112535595728</v>
      </c>
      <c r="F919" s="13">
        <f t="shared" ca="1" si="88"/>
        <v>0.16917479202664476</v>
      </c>
      <c r="G919" s="10">
        <f t="shared" ca="1" si="89"/>
        <v>1.8692573134009893</v>
      </c>
    </row>
    <row r="920" spans="1:7">
      <c r="A920" s="8">
        <v>915</v>
      </c>
      <c r="B920" s="9">
        <f t="shared" ca="1" si="84"/>
        <v>0.46584466071418107</v>
      </c>
      <c r="C920" s="10">
        <f t="shared" ca="1" si="85"/>
        <v>9.4060287717816138</v>
      </c>
      <c r="D920" s="9">
        <f t="shared" ca="1" si="86"/>
        <v>5.752651241736817E-2</v>
      </c>
      <c r="E920" s="10">
        <f t="shared" ca="1" si="87"/>
        <v>4.017584012999726</v>
      </c>
      <c r="F920" s="9">
        <f t="shared" ca="1" si="88"/>
        <v>0.71314477660970055</v>
      </c>
      <c r="G920" s="10">
        <f t="shared" ca="1" si="89"/>
        <v>4.6532096131591638</v>
      </c>
    </row>
    <row r="921" spans="1:7">
      <c r="A921" s="8">
        <v>916</v>
      </c>
      <c r="B921" s="13">
        <f t="shared" ca="1" si="84"/>
        <v>0.70403162430301081</v>
      </c>
      <c r="C921" s="14">
        <f t="shared" ca="1" si="85"/>
        <v>18.262540038409163</v>
      </c>
      <c r="D921" s="13">
        <f t="shared" ca="1" si="86"/>
        <v>0.65380296223796064</v>
      </c>
      <c r="E921" s="14">
        <f t="shared" ca="1" si="87"/>
        <v>7.3298379707971071</v>
      </c>
      <c r="F921" s="13">
        <f t="shared" ca="1" si="88"/>
        <v>0.36691128549774077</v>
      </c>
      <c r="G921" s="10">
        <f t="shared" ca="1" si="89"/>
        <v>2.7073571702907504</v>
      </c>
    </row>
    <row r="922" spans="1:7">
      <c r="A922" s="8">
        <v>917</v>
      </c>
      <c r="B922" s="9">
        <f t="shared" ca="1" si="84"/>
        <v>0.50478385880826848</v>
      </c>
      <c r="C922" s="10">
        <f t="shared" ca="1" si="85"/>
        <v>10.541414442669584</v>
      </c>
      <c r="D922" s="9">
        <f t="shared" ca="1" si="86"/>
        <v>0.87967332674429799</v>
      </c>
      <c r="E922" s="10">
        <f t="shared" ca="1" si="87"/>
        <v>9.2467146142999948</v>
      </c>
      <c r="F922" s="9">
        <f t="shared" ca="1" si="88"/>
        <v>0.10865818004529126</v>
      </c>
      <c r="G922" s="10">
        <f t="shared" ca="1" si="89"/>
        <v>1.583729723324137</v>
      </c>
    </row>
    <row r="923" spans="1:7">
      <c r="A923" s="8">
        <v>918</v>
      </c>
      <c r="B923" s="13">
        <f t="shared" ca="1" si="84"/>
        <v>0.20642244472646609</v>
      </c>
      <c r="C923" s="14">
        <f t="shared" ca="1" si="85"/>
        <v>3.4680600836524178</v>
      </c>
      <c r="D923" s="13">
        <f t="shared" ca="1" si="86"/>
        <v>0.95120749279864913</v>
      </c>
      <c r="E923" s="14">
        <f t="shared" ca="1" si="87"/>
        <v>10.246737910726093</v>
      </c>
      <c r="F923" s="13">
        <f t="shared" ca="1" si="88"/>
        <v>0.24600206807003699</v>
      </c>
      <c r="G923" s="10">
        <f t="shared" ca="1" si="89"/>
        <v>2.1983897629141822</v>
      </c>
    </row>
    <row r="924" spans="1:7">
      <c r="A924" s="8">
        <v>919</v>
      </c>
      <c r="B924" s="9">
        <f t="shared" ca="1" si="84"/>
        <v>0.54532363682685836</v>
      </c>
      <c r="C924" s="10">
        <f t="shared" ca="1" si="85"/>
        <v>11.822541042706563</v>
      </c>
      <c r="D924" s="9">
        <f t="shared" ca="1" si="86"/>
        <v>0.73852055724130194</v>
      </c>
      <c r="E924" s="10">
        <f t="shared" ca="1" si="87"/>
        <v>7.9412803873884101</v>
      </c>
      <c r="F924" s="9">
        <f t="shared" ca="1" si="88"/>
        <v>9.4676629527424505E-2</v>
      </c>
      <c r="G924" s="10">
        <f t="shared" ca="1" si="89"/>
        <v>1.5105943081368198</v>
      </c>
    </row>
    <row r="925" spans="1:7">
      <c r="A925" s="8">
        <v>920</v>
      </c>
      <c r="B925" s="13">
        <f t="shared" ca="1" si="84"/>
        <v>0.66278716903723622</v>
      </c>
      <c r="C925" s="14">
        <f t="shared" ca="1" si="85"/>
        <v>16.305615031310705</v>
      </c>
      <c r="D925" s="13">
        <f t="shared" ca="1" si="86"/>
        <v>0.7609817615338007</v>
      </c>
      <c r="E925" s="14">
        <f t="shared" ca="1" si="87"/>
        <v>8.1195169085060357</v>
      </c>
      <c r="F925" s="13">
        <f t="shared" ca="1" si="88"/>
        <v>0.1008782083940104</v>
      </c>
      <c r="G925" s="10">
        <f t="shared" ca="1" si="89"/>
        <v>1.5435144659349973</v>
      </c>
    </row>
    <row r="926" spans="1:7">
      <c r="A926" s="8">
        <v>921</v>
      </c>
      <c r="B926" s="9">
        <f t="shared" ca="1" si="84"/>
        <v>0.88100493578547034</v>
      </c>
      <c r="C926" s="10">
        <f t="shared" ca="1" si="85"/>
        <v>31.930098958794545</v>
      </c>
      <c r="D926" s="9">
        <f t="shared" ca="1" si="86"/>
        <v>0.82468759707530448</v>
      </c>
      <c r="E926" s="10">
        <f t="shared" ca="1" si="87"/>
        <v>8.6766460639504821</v>
      </c>
      <c r="F926" s="9">
        <f t="shared" ca="1" si="88"/>
        <v>0.55889326868876776</v>
      </c>
      <c r="G926" s="10">
        <f t="shared" ca="1" si="89"/>
        <v>3.6287865488007025</v>
      </c>
    </row>
    <row r="927" spans="1:7">
      <c r="A927" s="8">
        <v>922</v>
      </c>
      <c r="B927" s="13">
        <f t="shared" ca="1" si="84"/>
        <v>0.75683497487682949</v>
      </c>
      <c r="C927" s="14">
        <f t="shared" ca="1" si="85"/>
        <v>21.210224256046754</v>
      </c>
      <c r="D927" s="13">
        <f t="shared" ca="1" si="86"/>
        <v>0.90758314280641172</v>
      </c>
      <c r="E927" s="14">
        <f t="shared" ca="1" si="87"/>
        <v>9.5870636139350758</v>
      </c>
      <c r="F927" s="13">
        <f t="shared" ca="1" si="88"/>
        <v>0.50302770155751897</v>
      </c>
      <c r="G927" s="10">
        <f t="shared" ca="1" si="89"/>
        <v>3.3352700050084727</v>
      </c>
    </row>
    <row r="928" spans="1:7">
      <c r="A928" s="8">
        <v>923</v>
      </c>
      <c r="B928" s="9">
        <f t="shared" ca="1" si="84"/>
        <v>0.11822264065237553</v>
      </c>
      <c r="C928" s="10">
        <f t="shared" ca="1" si="85"/>
        <v>1.8872352282588614</v>
      </c>
      <c r="D928" s="9">
        <f t="shared" ca="1" si="86"/>
        <v>0.24719343382833814</v>
      </c>
      <c r="E928" s="10">
        <f t="shared" ca="1" si="87"/>
        <v>5.1132871652133849</v>
      </c>
      <c r="F928" s="9">
        <f t="shared" ca="1" si="88"/>
        <v>0.92704667858343426</v>
      </c>
      <c r="G928" s="10">
        <f t="shared" ca="1" si="89"/>
        <v>7.9445475138585504</v>
      </c>
    </row>
    <row r="929" spans="1:7">
      <c r="A929" s="8">
        <v>924</v>
      </c>
      <c r="B929" s="13">
        <f t="shared" ca="1" si="84"/>
        <v>3.5932265713504163E-2</v>
      </c>
      <c r="C929" s="14">
        <f t="shared" ca="1" si="85"/>
        <v>0.54890584585955038</v>
      </c>
      <c r="D929" s="13">
        <f t="shared" ca="1" si="86"/>
        <v>3.7020940524295165E-2</v>
      </c>
      <c r="E929" s="14">
        <f t="shared" ca="1" si="87"/>
        <v>3.8163191345529719</v>
      </c>
      <c r="F929" s="13">
        <f t="shared" ca="1" si="88"/>
        <v>0.20648543004726239</v>
      </c>
      <c r="G929" s="10">
        <f t="shared" ca="1" si="89"/>
        <v>2.031539631522385</v>
      </c>
    </row>
    <row r="930" spans="1:7">
      <c r="A930" s="8">
        <v>925</v>
      </c>
      <c r="B930" s="9">
        <f t="shared" ca="1" si="84"/>
        <v>0.30048687524525153</v>
      </c>
      <c r="C930" s="10">
        <f t="shared" ca="1" si="85"/>
        <v>5.3605608300120675</v>
      </c>
      <c r="D930" s="9">
        <f t="shared" ca="1" si="86"/>
        <v>0.48670653314981316</v>
      </c>
      <c r="E930" s="10">
        <f t="shared" ca="1" si="87"/>
        <v>6.3133939461607005</v>
      </c>
      <c r="F930" s="9">
        <f t="shared" ca="1" si="88"/>
        <v>0.64589135408333331</v>
      </c>
      <c r="G930" s="10">
        <f t="shared" ca="1" si="89"/>
        <v>4.1559906998014622</v>
      </c>
    </row>
    <row r="931" spans="1:7">
      <c r="A931" s="8">
        <v>926</v>
      </c>
      <c r="B931" s="13">
        <f t="shared" ca="1" si="84"/>
        <v>0.23104315525597219</v>
      </c>
      <c r="C931" s="14">
        <f t="shared" ca="1" si="85"/>
        <v>3.9408064457935326</v>
      </c>
      <c r="D931" s="13">
        <f t="shared" ca="1" si="86"/>
        <v>0.53397482027839782</v>
      </c>
      <c r="E931" s="14">
        <f t="shared" ca="1" si="87"/>
        <v>6.5815512992683098</v>
      </c>
      <c r="F931" s="13">
        <f t="shared" ca="1" si="88"/>
        <v>0.45460941831623014</v>
      </c>
      <c r="G931" s="10">
        <f t="shared" ca="1" si="89"/>
        <v>3.1005690270004842</v>
      </c>
    </row>
    <row r="932" spans="1:7">
      <c r="A932" s="8">
        <v>927</v>
      </c>
      <c r="B932" s="9">
        <f t="shared" ca="1" si="84"/>
        <v>0.7373955894942249</v>
      </c>
      <c r="C932" s="10">
        <f t="shared" ca="1" si="85"/>
        <v>20.056597825890282</v>
      </c>
      <c r="D932" s="9">
        <f t="shared" ca="1" si="86"/>
        <v>0.85870891328070409</v>
      </c>
      <c r="E932" s="10">
        <f t="shared" ca="1" si="87"/>
        <v>9.0164889034368176</v>
      </c>
      <c r="F932" s="9">
        <f t="shared" ca="1" si="88"/>
        <v>0.87616403751603844</v>
      </c>
      <c r="G932" s="10">
        <f t="shared" ca="1" si="89"/>
        <v>6.6433313192729262</v>
      </c>
    </row>
    <row r="933" spans="1:7">
      <c r="A933" s="8">
        <v>928</v>
      </c>
      <c r="B933" s="13">
        <f t="shared" ca="1" si="84"/>
        <v>0.39562151883274499</v>
      </c>
      <c r="C933" s="14">
        <f t="shared" ca="1" si="85"/>
        <v>7.5533197926801989</v>
      </c>
      <c r="D933" s="13">
        <f t="shared" ca="1" si="86"/>
        <v>0.3567469221425803</v>
      </c>
      <c r="E933" s="14">
        <f t="shared" ca="1" si="87"/>
        <v>5.6340794927192626</v>
      </c>
      <c r="F933" s="13">
        <f t="shared" ca="1" si="88"/>
        <v>0.86573488155471068</v>
      </c>
      <c r="G933" s="10">
        <f t="shared" ca="1" si="89"/>
        <v>6.448658726592746</v>
      </c>
    </row>
    <row r="934" spans="1:7">
      <c r="A934" s="8">
        <v>929</v>
      </c>
      <c r="B934" s="9">
        <f t="shared" ca="1" si="84"/>
        <v>0.11141080699296391</v>
      </c>
      <c r="C934" s="10">
        <f t="shared" ca="1" si="85"/>
        <v>1.7718037556094042</v>
      </c>
      <c r="D934" s="9">
        <f t="shared" ca="1" si="86"/>
        <v>0.20132003840472779</v>
      </c>
      <c r="E934" s="10">
        <f t="shared" ca="1" si="87"/>
        <v>4.9036177902313005</v>
      </c>
      <c r="F934" s="9">
        <f t="shared" ca="1" si="88"/>
        <v>0.15768125090871565</v>
      </c>
      <c r="G934" s="10">
        <f t="shared" ca="1" si="89"/>
        <v>1.8177145018819516</v>
      </c>
    </row>
    <row r="935" spans="1:7">
      <c r="A935" s="8">
        <v>930</v>
      </c>
      <c r="B935" s="13">
        <f t="shared" ca="1" si="84"/>
        <v>0.58529444532583241</v>
      </c>
      <c r="C935" s="14">
        <f t="shared" ca="1" si="85"/>
        <v>13.202797760696225</v>
      </c>
      <c r="D935" s="13">
        <f t="shared" ca="1" si="86"/>
        <v>0.49188713614916457</v>
      </c>
      <c r="E935" s="14">
        <f t="shared" ca="1" si="87"/>
        <v>6.3421638038378463</v>
      </c>
      <c r="F935" s="13">
        <f t="shared" ca="1" si="88"/>
        <v>0.32000090350784827</v>
      </c>
      <c r="G935" s="10">
        <f t="shared" ca="1" si="89"/>
        <v>2.5077407204777247</v>
      </c>
    </row>
    <row r="936" spans="1:7">
      <c r="A936" s="8">
        <v>931</v>
      </c>
      <c r="B936" s="9">
        <f t="shared" ca="1" si="84"/>
        <v>0.79840485159331898</v>
      </c>
      <c r="C936" s="10">
        <f t="shared" ca="1" si="85"/>
        <v>24.02240712776327</v>
      </c>
      <c r="D936" s="9">
        <f t="shared" ca="1" si="86"/>
        <v>0.65457334410960677</v>
      </c>
      <c r="E936" s="10">
        <f t="shared" ca="1" si="87"/>
        <v>7.3350370504049263</v>
      </c>
      <c r="F936" s="9">
        <f t="shared" ca="1" si="88"/>
        <v>8.4893863047595386E-2</v>
      </c>
      <c r="G936" s="10">
        <f t="shared" ca="1" si="89"/>
        <v>1.4568379183257727</v>
      </c>
    </row>
    <row r="937" spans="1:7">
      <c r="A937" s="8">
        <v>932</v>
      </c>
      <c r="B937" s="13">
        <f t="shared" ca="1" si="84"/>
        <v>4.8260459781888421E-2</v>
      </c>
      <c r="C937" s="14">
        <f t="shared" ca="1" si="85"/>
        <v>0.74195810747720403</v>
      </c>
      <c r="D937" s="13">
        <f t="shared" ca="1" si="86"/>
        <v>8.6696519331504573E-2</v>
      </c>
      <c r="E937" s="14">
        <f t="shared" ca="1" si="87"/>
        <v>4.2492146925036876</v>
      </c>
      <c r="F937" s="13">
        <f t="shared" ca="1" si="88"/>
        <v>0.9803862049004135</v>
      </c>
      <c r="G937" s="10">
        <f t="shared" ca="1" si="89"/>
        <v>11.439530020470965</v>
      </c>
    </row>
    <row r="938" spans="1:7">
      <c r="A938" s="8">
        <v>933</v>
      </c>
      <c r="B938" s="9">
        <f t="shared" ca="1" si="84"/>
        <v>0.74207463990918066</v>
      </c>
      <c r="C938" s="10">
        <f t="shared" ca="1" si="85"/>
        <v>20.326275568349651</v>
      </c>
      <c r="D938" s="9">
        <f t="shared" ca="1" si="86"/>
        <v>0.57456119072031842</v>
      </c>
      <c r="E938" s="10">
        <f t="shared" ca="1" si="87"/>
        <v>6.8228729024081378</v>
      </c>
      <c r="F938" s="9">
        <f t="shared" ca="1" si="88"/>
        <v>0.72863051508743604</v>
      </c>
      <c r="G938" s="10">
        <f t="shared" ca="1" si="89"/>
        <v>4.7836594296082735</v>
      </c>
    </row>
    <row r="939" spans="1:7">
      <c r="A939" s="8">
        <v>934</v>
      </c>
      <c r="B939" s="13">
        <f t="shared" ca="1" si="84"/>
        <v>0.84693221837701704</v>
      </c>
      <c r="C939" s="14">
        <f t="shared" ca="1" si="85"/>
        <v>28.153116578237157</v>
      </c>
      <c r="D939" s="13">
        <f t="shared" ca="1" si="86"/>
        <v>0.2553791155722096</v>
      </c>
      <c r="E939" s="14">
        <f t="shared" ca="1" si="87"/>
        <v>5.1508310198279679</v>
      </c>
      <c r="F939" s="13">
        <f t="shared" ca="1" si="88"/>
        <v>0.6041191738836883</v>
      </c>
      <c r="G939" s="10">
        <f t="shared" ca="1" si="89"/>
        <v>3.8900197057919832</v>
      </c>
    </row>
    <row r="940" spans="1:7">
      <c r="A940" s="8">
        <v>935</v>
      </c>
      <c r="B940" s="9">
        <f t="shared" ca="1" si="84"/>
        <v>0.81005458271932085</v>
      </c>
      <c r="C940" s="10">
        <f t="shared" ca="1" si="85"/>
        <v>24.915277883457566</v>
      </c>
      <c r="D940" s="9">
        <f t="shared" ca="1" si="86"/>
        <v>0.28475129423203172</v>
      </c>
      <c r="E940" s="10">
        <f t="shared" ca="1" si="87"/>
        <v>5.2872756303135757</v>
      </c>
      <c r="F940" s="9">
        <f t="shared" ca="1" si="88"/>
        <v>0.98619985285700218</v>
      </c>
      <c r="G940" s="10">
        <f t="shared" ca="1" si="89"/>
        <v>12.450400550991478</v>
      </c>
    </row>
    <row r="941" spans="1:7">
      <c r="A941" s="8">
        <v>936</v>
      </c>
      <c r="B941" s="13">
        <f t="shared" ca="1" si="84"/>
        <v>0.72454707086580872</v>
      </c>
      <c r="C941" s="14">
        <f t="shared" ca="1" si="85"/>
        <v>19.340077816859658</v>
      </c>
      <c r="D941" s="13">
        <f t="shared" ca="1" si="86"/>
        <v>0.47000801335350983</v>
      </c>
      <c r="E941" s="14">
        <f t="shared" ca="1" si="87"/>
        <v>6.2216355983090788</v>
      </c>
      <c r="F941" s="13">
        <f t="shared" ca="1" si="88"/>
        <v>0.28473389695761864</v>
      </c>
      <c r="G941" s="10">
        <f t="shared" ca="1" si="89"/>
        <v>2.3600875404227821</v>
      </c>
    </row>
    <row r="942" spans="1:7">
      <c r="A942" s="8">
        <v>937</v>
      </c>
      <c r="B942" s="9">
        <f t="shared" ca="1" si="84"/>
        <v>0.47372343412105344</v>
      </c>
      <c r="C942" s="10">
        <f t="shared" ca="1" si="85"/>
        <v>9.6289262066926415</v>
      </c>
      <c r="D942" s="9">
        <f t="shared" ca="1" si="86"/>
        <v>0.58376977342637204</v>
      </c>
      <c r="E942" s="10">
        <f t="shared" ca="1" si="87"/>
        <v>6.8792086281377793</v>
      </c>
      <c r="F942" s="9">
        <f t="shared" ca="1" si="88"/>
        <v>4.3733109689224947E-2</v>
      </c>
      <c r="G942" s="10">
        <f t="shared" ca="1" si="89"/>
        <v>1.1908287076966098</v>
      </c>
    </row>
    <row r="943" spans="1:7">
      <c r="A943" s="8">
        <v>938</v>
      </c>
      <c r="B943" s="13">
        <f t="shared" ca="1" si="84"/>
        <v>0.91478700987411654</v>
      </c>
      <c r="C943" s="14">
        <f t="shared" ca="1" si="85"/>
        <v>36.939020857536441</v>
      </c>
      <c r="D943" s="13">
        <f t="shared" ca="1" si="86"/>
        <v>7.4650878194469916E-2</v>
      </c>
      <c r="E943" s="14">
        <f t="shared" ca="1" si="87"/>
        <v>4.1591875635549487</v>
      </c>
      <c r="F943" s="13">
        <f t="shared" ca="1" si="88"/>
        <v>0.4810474156531318</v>
      </c>
      <c r="G943" s="10">
        <f t="shared" ca="1" si="89"/>
        <v>3.2267809141079558</v>
      </c>
    </row>
    <row r="944" spans="1:7">
      <c r="A944" s="8">
        <v>939</v>
      </c>
      <c r="B944" s="9">
        <f t="shared" ca="1" si="84"/>
        <v>0.39601994909442484</v>
      </c>
      <c r="C944" s="10">
        <f t="shared" ca="1" si="85"/>
        <v>7.5632116484219445</v>
      </c>
      <c r="D944" s="9">
        <f t="shared" ca="1" si="86"/>
        <v>0.81751986061784865</v>
      </c>
      <c r="E944" s="10">
        <f t="shared" ca="1" si="87"/>
        <v>8.609388140604187</v>
      </c>
      <c r="F944" s="9">
        <f t="shared" ca="1" si="88"/>
        <v>0.2467977885992737</v>
      </c>
      <c r="G944" s="10">
        <f t="shared" ca="1" si="89"/>
        <v>2.2017208280819025</v>
      </c>
    </row>
    <row r="945" spans="1:7">
      <c r="A945" s="8">
        <v>940</v>
      </c>
      <c r="B945" s="13">
        <f t="shared" ca="1" si="84"/>
        <v>5.1919526247580228E-2</v>
      </c>
      <c r="C945" s="14">
        <f t="shared" ca="1" si="85"/>
        <v>0.79973838608096692</v>
      </c>
      <c r="D945" s="13">
        <f t="shared" ca="1" si="86"/>
        <v>0.93394470120866624</v>
      </c>
      <c r="E945" s="14">
        <f t="shared" ca="1" si="87"/>
        <v>9.9600284747443091</v>
      </c>
      <c r="F945" s="13">
        <f t="shared" ca="1" si="88"/>
        <v>0.54822091055368083</v>
      </c>
      <c r="G945" s="10">
        <f t="shared" ca="1" si="89"/>
        <v>3.5704821456605464</v>
      </c>
    </row>
    <row r="946" spans="1:7">
      <c r="A946" s="8">
        <v>941</v>
      </c>
      <c r="B946" s="9">
        <f t="shared" ca="1" si="84"/>
        <v>0.57648788416159047</v>
      </c>
      <c r="C946" s="10">
        <f t="shared" ca="1" si="85"/>
        <v>12.887597347077589</v>
      </c>
      <c r="D946" s="9">
        <f t="shared" ca="1" si="86"/>
        <v>0.25855956394258883</v>
      </c>
      <c r="E946" s="10">
        <f t="shared" ca="1" si="87"/>
        <v>5.1654738663447262</v>
      </c>
      <c r="F946" s="9">
        <f t="shared" ca="1" si="88"/>
        <v>4.0209238386998525E-2</v>
      </c>
      <c r="G946" s="10">
        <f t="shared" ca="1" si="89"/>
        <v>1.1630456560596594</v>
      </c>
    </row>
    <row r="947" spans="1:7">
      <c r="A947" s="8">
        <v>942</v>
      </c>
      <c r="B947" s="13">
        <f t="shared" ca="1" si="84"/>
        <v>0.17954157247934266</v>
      </c>
      <c r="C947" s="14">
        <f t="shared" ca="1" si="85"/>
        <v>2.9683805547974194</v>
      </c>
      <c r="D947" s="13">
        <f t="shared" ca="1" si="86"/>
        <v>0.69452684179672286</v>
      </c>
      <c r="E947" s="14">
        <f t="shared" ca="1" si="87"/>
        <v>7.6131094193259781</v>
      </c>
      <c r="F947" s="13">
        <f t="shared" ca="1" si="88"/>
        <v>0.8907149381151791</v>
      </c>
      <c r="G947" s="10">
        <f t="shared" ca="1" si="89"/>
        <v>6.9462607921372612</v>
      </c>
    </row>
    <row r="948" spans="1:7">
      <c r="A948" s="8">
        <v>943</v>
      </c>
      <c r="B948" s="9">
        <f t="shared" ca="1" si="84"/>
        <v>0.90885399064280825</v>
      </c>
      <c r="C948" s="10">
        <f t="shared" ca="1" si="85"/>
        <v>35.929388398004832</v>
      </c>
      <c r="D948" s="9">
        <f t="shared" ca="1" si="86"/>
        <v>0.64126279417137222</v>
      </c>
      <c r="E948" s="10">
        <f t="shared" ca="1" si="87"/>
        <v>7.2460075760258569</v>
      </c>
      <c r="F948" s="9">
        <f t="shared" ca="1" si="88"/>
        <v>0.44730289507671395</v>
      </c>
      <c r="G948" s="10">
        <f t="shared" ca="1" si="89"/>
        <v>3.0664264830062806</v>
      </c>
    </row>
    <row r="949" spans="1:7">
      <c r="A949" s="8">
        <v>944</v>
      </c>
      <c r="B949" s="13">
        <f t="shared" ca="1" si="84"/>
        <v>0.20533063261308737</v>
      </c>
      <c r="C949" s="14">
        <f t="shared" ca="1" si="85"/>
        <v>3.4474371137013744</v>
      </c>
      <c r="D949" s="13">
        <f t="shared" ca="1" si="86"/>
        <v>0.22672180123085561</v>
      </c>
      <c r="E949" s="14">
        <f t="shared" ca="1" si="87"/>
        <v>5.0202774752533248</v>
      </c>
      <c r="F949" s="13">
        <f t="shared" ca="1" si="88"/>
        <v>0.34590567363376346</v>
      </c>
      <c r="G949" s="10">
        <f t="shared" ca="1" si="89"/>
        <v>2.6173467754152449</v>
      </c>
    </row>
    <row r="950" spans="1:7">
      <c r="A950" s="8">
        <v>945</v>
      </c>
      <c r="B950" s="9">
        <f t="shared" ca="1" si="84"/>
        <v>0.7038174218064277</v>
      </c>
      <c r="C950" s="10">
        <f t="shared" ca="1" si="85"/>
        <v>18.251687948860774</v>
      </c>
      <c r="D950" s="9">
        <f t="shared" ca="1" si="86"/>
        <v>0.99817528078348616</v>
      </c>
      <c r="E950" s="10">
        <f t="shared" ca="1" si="87"/>
        <v>11.660946448712933</v>
      </c>
      <c r="F950" s="9">
        <f t="shared" ca="1" si="88"/>
        <v>0.67434523360236276</v>
      </c>
      <c r="G950" s="10">
        <f t="shared" ca="1" si="89"/>
        <v>4.3543102971134751</v>
      </c>
    </row>
    <row r="951" spans="1:7">
      <c r="A951" s="8">
        <v>946</v>
      </c>
      <c r="B951" s="13">
        <f t="shared" ca="1" si="84"/>
        <v>0.34712352158161841</v>
      </c>
      <c r="C951" s="14">
        <f t="shared" ca="1" si="85"/>
        <v>6.3955099163154374</v>
      </c>
      <c r="D951" s="13">
        <f t="shared" ca="1" si="86"/>
        <v>0.21948254212895824</v>
      </c>
      <c r="E951" s="14">
        <f t="shared" ca="1" si="87"/>
        <v>4.9876332051767616</v>
      </c>
      <c r="F951" s="13">
        <f t="shared" ca="1" si="88"/>
        <v>0.11076861360488888</v>
      </c>
      <c r="G951" s="10">
        <f t="shared" ca="1" si="89"/>
        <v>1.5944511419053151</v>
      </c>
    </row>
    <row r="952" spans="1:7">
      <c r="A952" s="8">
        <v>947</v>
      </c>
      <c r="B952" s="9">
        <f t="shared" ca="1" si="84"/>
        <v>3.1504560094141043E-2</v>
      </c>
      <c r="C952" s="10">
        <f t="shared" ca="1" si="85"/>
        <v>0.4801725683279463</v>
      </c>
      <c r="D952" s="9">
        <f t="shared" ca="1" si="86"/>
        <v>6.0759423533729873E-2</v>
      </c>
      <c r="E952" s="10">
        <f t="shared" ca="1" si="87"/>
        <v>4.0457866051958868</v>
      </c>
      <c r="F952" s="9">
        <f t="shared" ca="1" si="88"/>
        <v>9.7352088971770723E-2</v>
      </c>
      <c r="G952" s="10">
        <f t="shared" ca="1" si="89"/>
        <v>1.5248976070844171</v>
      </c>
    </row>
    <row r="953" spans="1:7">
      <c r="A953" s="8">
        <v>948</v>
      </c>
      <c r="B953" s="13">
        <f t="shared" ca="1" si="84"/>
        <v>0.71649153316277381</v>
      </c>
      <c r="C953" s="14">
        <f t="shared" ca="1" si="85"/>
        <v>18.907699363098761</v>
      </c>
      <c r="D953" s="13">
        <f t="shared" ca="1" si="86"/>
        <v>0.44705688535451116</v>
      </c>
      <c r="E953" s="14">
        <f t="shared" ca="1" si="87"/>
        <v>6.0978464758474979</v>
      </c>
      <c r="F953" s="13">
        <f t="shared" ca="1" si="88"/>
        <v>0.3020848946343504</v>
      </c>
      <c r="G953" s="10">
        <f t="shared" ca="1" si="89"/>
        <v>2.4325787114812725</v>
      </c>
    </row>
    <row r="954" spans="1:7">
      <c r="A954" s="8">
        <v>949</v>
      </c>
      <c r="B954" s="9">
        <f t="shared" ca="1" si="84"/>
        <v>0.37498713768858993</v>
      </c>
      <c r="C954" s="10">
        <f t="shared" ca="1" si="85"/>
        <v>7.0497457463885782</v>
      </c>
      <c r="D954" s="9">
        <f t="shared" ca="1" si="86"/>
        <v>0.80225290719358366</v>
      </c>
      <c r="E954" s="10">
        <f t="shared" ca="1" si="87"/>
        <v>8.4704013192992846</v>
      </c>
      <c r="F954" s="9">
        <f t="shared" ca="1" si="88"/>
        <v>0.84130941447231888</v>
      </c>
      <c r="G954" s="10">
        <f t="shared" ca="1" si="89"/>
        <v>6.0491175191366606</v>
      </c>
    </row>
    <row r="955" spans="1:7">
      <c r="A955" s="8">
        <v>950</v>
      </c>
      <c r="B955" s="13">
        <f t="shared" ca="1" si="84"/>
        <v>0.88417534339977688</v>
      </c>
      <c r="C955" s="14">
        <f t="shared" ca="1" si="85"/>
        <v>32.335167187492601</v>
      </c>
      <c r="D955" s="13">
        <f t="shared" ca="1" si="86"/>
        <v>2.2739728201286669E-2</v>
      </c>
      <c r="E955" s="14">
        <f t="shared" ca="1" si="87"/>
        <v>3.6397773891152765</v>
      </c>
      <c r="F955" s="13">
        <f t="shared" ca="1" si="88"/>
        <v>0.18962233726204081</v>
      </c>
      <c r="G955" s="10">
        <f t="shared" ca="1" si="89"/>
        <v>1.9589853958364136</v>
      </c>
    </row>
    <row r="956" spans="1:7">
      <c r="A956" s="8">
        <v>951</v>
      </c>
      <c r="B956" s="9">
        <f t="shared" ca="1" si="84"/>
        <v>0.58742652697171838</v>
      </c>
      <c r="C956" s="10">
        <f t="shared" ca="1" si="85"/>
        <v>13.280114589540778</v>
      </c>
      <c r="D956" s="9">
        <f t="shared" ca="1" si="86"/>
        <v>0.56850311383108154</v>
      </c>
      <c r="E956" s="10">
        <f t="shared" ca="1" si="87"/>
        <v>6.786143094729022</v>
      </c>
      <c r="F956" s="9">
        <f t="shared" ca="1" si="88"/>
        <v>0.10065423575514021</v>
      </c>
      <c r="G956" s="10">
        <f t="shared" ca="1" si="89"/>
        <v>1.5423395694175714</v>
      </c>
    </row>
    <row r="957" spans="1:7">
      <c r="A957" s="8">
        <v>952</v>
      </c>
      <c r="B957" s="13">
        <f t="shared" ca="1" si="84"/>
        <v>0.62445017386532298</v>
      </c>
      <c r="C957" s="14">
        <f t="shared" ca="1" si="85"/>
        <v>14.690461857181109</v>
      </c>
      <c r="D957" s="13">
        <f t="shared" ca="1" si="86"/>
        <v>0.19581898269413289</v>
      </c>
      <c r="E957" s="14">
        <f t="shared" ca="1" si="87"/>
        <v>4.8774295428842045</v>
      </c>
      <c r="F957" s="13">
        <f t="shared" ca="1" si="88"/>
        <v>0.3812851169502709</v>
      </c>
      <c r="G957" s="10">
        <f t="shared" ca="1" si="89"/>
        <v>2.7696905340284959</v>
      </c>
    </row>
    <row r="958" spans="1:7">
      <c r="A958" s="8">
        <v>953</v>
      </c>
      <c r="B958" s="9">
        <f t="shared" ca="1" si="84"/>
        <v>0.50084053145866114</v>
      </c>
      <c r="C958" s="10">
        <f t="shared" ca="1" si="85"/>
        <v>10.422444870736181</v>
      </c>
      <c r="D958" s="9">
        <f t="shared" ca="1" si="86"/>
        <v>9.9106885729547511E-2</v>
      </c>
      <c r="E958" s="10">
        <f t="shared" ca="1" si="87"/>
        <v>4.3356361567177846</v>
      </c>
      <c r="F958" s="9">
        <f t="shared" ca="1" si="88"/>
        <v>0.13785812432180555</v>
      </c>
      <c r="G958" s="10">
        <f t="shared" ca="1" si="89"/>
        <v>1.7263411534815192</v>
      </c>
    </row>
    <row r="959" spans="1:7">
      <c r="A959" s="8">
        <v>954</v>
      </c>
      <c r="B959" s="13">
        <f t="shared" ca="1" si="84"/>
        <v>0.3283815568556171</v>
      </c>
      <c r="C959" s="14">
        <f t="shared" ca="1" si="85"/>
        <v>5.9709733898152191</v>
      </c>
      <c r="D959" s="13">
        <f t="shared" ca="1" si="86"/>
        <v>0.28974456592710696</v>
      </c>
      <c r="E959" s="14">
        <f t="shared" ca="1" si="87"/>
        <v>5.3107479979752394</v>
      </c>
      <c r="F959" s="13">
        <f t="shared" ca="1" si="88"/>
        <v>0.4264921737085432</v>
      </c>
      <c r="G959" s="10">
        <f t="shared" ca="1" si="89"/>
        <v>2.9707451573565007</v>
      </c>
    </row>
    <row r="960" spans="1:7">
      <c r="A960" s="8">
        <v>955</v>
      </c>
      <c r="B960" s="9">
        <f t="shared" ca="1" si="84"/>
        <v>0.6718353898765459</v>
      </c>
      <c r="C960" s="10">
        <f t="shared" ca="1" si="85"/>
        <v>16.71359904532785</v>
      </c>
      <c r="D960" s="9">
        <f t="shared" ca="1" si="86"/>
        <v>0.65569302070651148</v>
      </c>
      <c r="E960" s="10">
        <f t="shared" ca="1" si="87"/>
        <v>7.3426037643883273</v>
      </c>
      <c r="F960" s="9">
        <f t="shared" ca="1" si="88"/>
        <v>0.80915842672014848</v>
      </c>
      <c r="G960" s="10">
        <f t="shared" ca="1" si="89"/>
        <v>5.6118450349492992</v>
      </c>
    </row>
    <row r="961" spans="1:7">
      <c r="A961" s="8">
        <v>956</v>
      </c>
      <c r="B961" s="13">
        <f t="shared" ca="1" si="84"/>
        <v>8.7534942793820347E-2</v>
      </c>
      <c r="C961" s="14">
        <f t="shared" ca="1" si="85"/>
        <v>1.3740823159707609</v>
      </c>
      <c r="D961" s="13">
        <f t="shared" ca="1" si="86"/>
        <v>0.30918165294981736</v>
      </c>
      <c r="E961" s="14">
        <f t="shared" ca="1" si="87"/>
        <v>5.4029130774135234</v>
      </c>
      <c r="F961" s="13">
        <f t="shared" ca="1" si="88"/>
        <v>0.46029942762889187</v>
      </c>
      <c r="G961" s="10">
        <f t="shared" ca="1" si="89"/>
        <v>3.12736988764058</v>
      </c>
    </row>
    <row r="962" spans="1:7">
      <c r="A962" s="8">
        <v>957</v>
      </c>
      <c r="B962" s="9">
        <f t="shared" ca="1" si="84"/>
        <v>0.30388393939129388</v>
      </c>
      <c r="C962" s="10">
        <f t="shared" ca="1" si="85"/>
        <v>5.4335831820215583</v>
      </c>
      <c r="D962" s="9">
        <f t="shared" ca="1" si="86"/>
        <v>0.54531906870971536</v>
      </c>
      <c r="E962" s="10">
        <f t="shared" ca="1" si="87"/>
        <v>6.6479070756116414</v>
      </c>
      <c r="F962" s="9">
        <f t="shared" ca="1" si="88"/>
        <v>0.99791853799661523</v>
      </c>
      <c r="G962" s="10">
        <f t="shared" ca="1" si="89"/>
        <v>18.528810845292853</v>
      </c>
    </row>
    <row r="963" spans="1:7">
      <c r="A963" s="8">
        <v>958</v>
      </c>
      <c r="B963" s="13">
        <f t="shared" ca="1" si="84"/>
        <v>0.55062592103482277</v>
      </c>
      <c r="C963" s="14">
        <f t="shared" ca="1" si="85"/>
        <v>11.998494001494461</v>
      </c>
      <c r="D963" s="13">
        <f t="shared" ca="1" si="86"/>
        <v>5.5038768417857153E-2</v>
      </c>
      <c r="E963" s="14">
        <f t="shared" ca="1" si="87"/>
        <v>3.9953380488665289</v>
      </c>
      <c r="F963" s="13">
        <f t="shared" ca="1" si="88"/>
        <v>0.54415529969457843</v>
      </c>
      <c r="G963" s="10">
        <f t="shared" ca="1" si="89"/>
        <v>3.5485700699012961</v>
      </c>
    </row>
    <row r="964" spans="1:7">
      <c r="A964" s="8">
        <v>959</v>
      </c>
      <c r="B964" s="9">
        <f t="shared" ca="1" si="84"/>
        <v>0.87335299668999289</v>
      </c>
      <c r="C964" s="10">
        <f t="shared" ca="1" si="85"/>
        <v>30.995273460098836</v>
      </c>
      <c r="D964" s="9">
        <f t="shared" ca="1" si="86"/>
        <v>2.2682863951385412E-3</v>
      </c>
      <c r="E964" s="10">
        <f t="shared" ca="1" si="87"/>
        <v>3.2020622555364899</v>
      </c>
      <c r="F964" s="9">
        <f t="shared" ca="1" si="88"/>
        <v>0.99048351690492242</v>
      </c>
      <c r="G964" s="10">
        <f t="shared" ca="1" si="89"/>
        <v>13.557376612919459</v>
      </c>
    </row>
    <row r="965" spans="1:7">
      <c r="A965" s="8">
        <v>960</v>
      </c>
      <c r="B965" s="13">
        <f t="shared" ca="1" si="84"/>
        <v>0.54870573207716256</v>
      </c>
      <c r="C965" s="14">
        <f t="shared" ca="1" si="85"/>
        <v>11.934535102298607</v>
      </c>
      <c r="D965" s="13">
        <f t="shared" ca="1" si="86"/>
        <v>0.98873564051886365</v>
      </c>
      <c r="E965" s="14">
        <f t="shared" ca="1" si="87"/>
        <v>11.157589976726541</v>
      </c>
      <c r="F965" s="13">
        <f t="shared" ca="1" si="88"/>
        <v>0.95464555279498886</v>
      </c>
      <c r="G965" s="10">
        <f t="shared" ca="1" si="89"/>
        <v>9.1614279274940404</v>
      </c>
    </row>
    <row r="966" spans="1:7">
      <c r="A966" s="8">
        <v>961</v>
      </c>
      <c r="B966" s="9">
        <f t="shared" ref="B966:B1005" ca="1" si="90">RAND()</f>
        <v>0.45392784718955093</v>
      </c>
      <c r="C966" s="10">
        <f t="shared" ref="C966:C1029" ca="1" si="91">-$J$6 * LN(1 - B966)</f>
        <v>9.075062459452873</v>
      </c>
      <c r="D966" s="9">
        <f t="shared" ref="D966:D1005" ca="1" si="92">RAND()</f>
        <v>0.46979711384118739</v>
      </c>
      <c r="E966" s="10">
        <f t="shared" ref="E966:E1029" ca="1" si="93">IF(D966&lt;=$N$9, $N$6+SQRT(D966*($N$8-$N$6)*($N$7-$N$6)), $N$8-SQRT((1-D966)*($N$8-$N$6)*($N$8-$N$7)))</f>
        <v>6.220486021471598</v>
      </c>
      <c r="F966" s="9">
        <f t="shared" ref="F966:F1005" ca="1" si="94">RAND()</f>
        <v>0.94013706555239906</v>
      </c>
      <c r="G966" s="10">
        <f t="shared" ca="1" si="89"/>
        <v>8.4448361546925881</v>
      </c>
    </row>
    <row r="967" spans="1:7">
      <c r="A967" s="8">
        <v>962</v>
      </c>
      <c r="B967" s="13">
        <f t="shared" ca="1" si="90"/>
        <v>0.37814694033334173</v>
      </c>
      <c r="C967" s="14">
        <f t="shared" ca="1" si="91"/>
        <v>7.1257717894455554</v>
      </c>
      <c r="D967" s="13">
        <f t="shared" ca="1" si="92"/>
        <v>2.1885359078358313E-2</v>
      </c>
      <c r="E967" s="14">
        <f t="shared" ca="1" si="93"/>
        <v>3.6276435799165396</v>
      </c>
      <c r="F967" s="13">
        <f t="shared" ca="1" si="94"/>
        <v>0.40108676966676626</v>
      </c>
      <c r="G967" s="10">
        <f t="shared" ref="G967:G1005" ca="1" si="95">_xlfn.LOGNORM.INV(F967, $R$6, $R$7)</f>
        <v>2.8567337329331188</v>
      </c>
    </row>
    <row r="968" spans="1:7">
      <c r="A968" s="8">
        <v>963</v>
      </c>
      <c r="B968" s="9">
        <f t="shared" ca="1" si="90"/>
        <v>0.21768605730267987</v>
      </c>
      <c r="C968" s="10">
        <f t="shared" ca="1" si="91"/>
        <v>3.6824873662659301</v>
      </c>
      <c r="D968" s="9">
        <f t="shared" ca="1" si="92"/>
        <v>0.92230537693821957</v>
      </c>
      <c r="E968" s="10">
        <f t="shared" ca="1" si="93"/>
        <v>9.787589266683927</v>
      </c>
      <c r="F968" s="9">
        <f t="shared" ca="1" si="94"/>
        <v>0.17906525588031774</v>
      </c>
      <c r="G968" s="10">
        <f t="shared" ca="1" si="95"/>
        <v>1.9129376139733976</v>
      </c>
    </row>
    <row r="969" spans="1:7">
      <c r="A969" s="8">
        <v>964</v>
      </c>
      <c r="B969" s="13">
        <f t="shared" ca="1" si="90"/>
        <v>0.92541004381127023</v>
      </c>
      <c r="C969" s="14">
        <f t="shared" ca="1" si="91"/>
        <v>38.936241245646229</v>
      </c>
      <c r="D969" s="13">
        <f t="shared" ca="1" si="92"/>
        <v>0.96280755619787162</v>
      </c>
      <c r="E969" s="14">
        <f t="shared" ca="1" si="93"/>
        <v>10.469273388375935</v>
      </c>
      <c r="F969" s="13">
        <f t="shared" ca="1" si="94"/>
        <v>0.21859472872388774</v>
      </c>
      <c r="G969" s="10">
        <f t="shared" ca="1" si="95"/>
        <v>2.0830459203445839</v>
      </c>
    </row>
    <row r="970" spans="1:7">
      <c r="A970" s="8">
        <v>965</v>
      </c>
      <c r="B970" s="9">
        <f t="shared" ca="1" si="90"/>
        <v>0.20970962364779511</v>
      </c>
      <c r="C970" s="10">
        <f t="shared" ca="1" si="91"/>
        <v>3.5303225408061887</v>
      </c>
      <c r="D970" s="9">
        <f t="shared" ca="1" si="92"/>
        <v>0.60893827372474885</v>
      </c>
      <c r="E970" s="10">
        <f t="shared" ca="1" si="93"/>
        <v>7.0364439405461709</v>
      </c>
      <c r="F970" s="9">
        <f t="shared" ca="1" si="94"/>
        <v>0.53837803419047459</v>
      </c>
      <c r="G970" s="10">
        <f t="shared" ca="1" si="95"/>
        <v>3.5177057274050947</v>
      </c>
    </row>
    <row r="971" spans="1:7">
      <c r="A971" s="8">
        <v>966</v>
      </c>
      <c r="B971" s="13">
        <f t="shared" ca="1" si="90"/>
        <v>0.49299490682275582</v>
      </c>
      <c r="C971" s="14">
        <f t="shared" ca="1" si="91"/>
        <v>10.188513445903892</v>
      </c>
      <c r="D971" s="13">
        <f t="shared" ca="1" si="92"/>
        <v>0.42528956117041661</v>
      </c>
      <c r="E971" s="14">
        <f t="shared" ca="1" si="93"/>
        <v>5.9827948642028375</v>
      </c>
      <c r="F971" s="13">
        <f t="shared" ca="1" si="94"/>
        <v>8.2483094052622996E-2</v>
      </c>
      <c r="G971" s="10">
        <f t="shared" ca="1" si="95"/>
        <v>1.4432004927864746</v>
      </c>
    </row>
    <row r="972" spans="1:7">
      <c r="A972" s="8">
        <v>967</v>
      </c>
      <c r="B972" s="9">
        <f t="shared" ca="1" si="90"/>
        <v>0.86385402503074249</v>
      </c>
      <c r="C972" s="10">
        <f t="shared" ca="1" si="91"/>
        <v>29.910414352607589</v>
      </c>
      <c r="D972" s="9">
        <f t="shared" ca="1" si="92"/>
        <v>7.4532408158151764E-2</v>
      </c>
      <c r="E972" s="10">
        <f t="shared" ca="1" si="93"/>
        <v>4.1582673900471914</v>
      </c>
      <c r="F972" s="9">
        <f t="shared" ca="1" si="94"/>
        <v>0.81490986841399193</v>
      </c>
      <c r="G972" s="10">
        <f t="shared" ca="1" si="95"/>
        <v>5.6841491638676525</v>
      </c>
    </row>
    <row r="973" spans="1:7">
      <c r="A973" s="8">
        <v>968</v>
      </c>
      <c r="B973" s="13">
        <f t="shared" ca="1" si="90"/>
        <v>0.76334173063747801</v>
      </c>
      <c r="C973" s="14">
        <f t="shared" ca="1" si="91"/>
        <v>21.6170711971677</v>
      </c>
      <c r="D973" s="13">
        <f t="shared" ca="1" si="92"/>
        <v>0.94871139962486017</v>
      </c>
      <c r="E973" s="14">
        <f t="shared" ca="1" si="93"/>
        <v>10.202451162378665</v>
      </c>
      <c r="F973" s="13">
        <f t="shared" ca="1" si="94"/>
        <v>0.64333763211350847</v>
      </c>
      <c r="G973" s="10">
        <f t="shared" ca="1" si="95"/>
        <v>4.1389276411078564</v>
      </c>
    </row>
    <row r="974" spans="1:7">
      <c r="A974" s="8">
        <v>969</v>
      </c>
      <c r="B974" s="9">
        <f t="shared" ca="1" si="90"/>
        <v>0.28833956282070483</v>
      </c>
      <c r="C974" s="10">
        <f t="shared" ca="1" si="91"/>
        <v>5.1023159310580866</v>
      </c>
      <c r="D974" s="9">
        <f t="shared" ca="1" si="92"/>
        <v>1.4287997582319578E-2</v>
      </c>
      <c r="E974" s="10">
        <f t="shared" ca="1" si="93"/>
        <v>3.5071330757126304</v>
      </c>
      <c r="F974" s="9">
        <f t="shared" ca="1" si="94"/>
        <v>0.61849335114145232</v>
      </c>
      <c r="G974" s="10">
        <f t="shared" ca="1" si="95"/>
        <v>3.9785431183979192</v>
      </c>
    </row>
    <row r="975" spans="1:7">
      <c r="A975" s="8">
        <v>970</v>
      </c>
      <c r="B975" s="13">
        <f t="shared" ca="1" si="90"/>
        <v>0.74385973522784921</v>
      </c>
      <c r="C975" s="14">
        <f t="shared" ca="1" si="91"/>
        <v>20.430451129257552</v>
      </c>
      <c r="D975" s="13">
        <f t="shared" ca="1" si="92"/>
        <v>0.58719207414742947</v>
      </c>
      <c r="E975" s="14">
        <f t="shared" ca="1" si="93"/>
        <v>6.9003039964413615</v>
      </c>
      <c r="F975" s="13">
        <f t="shared" ca="1" si="94"/>
        <v>0.75548418233785186</v>
      </c>
      <c r="G975" s="10">
        <f t="shared" ca="1" si="95"/>
        <v>5.028440530511058</v>
      </c>
    </row>
    <row r="976" spans="1:7">
      <c r="A976" s="8">
        <v>971</v>
      </c>
      <c r="B976" s="9">
        <f t="shared" ca="1" si="90"/>
        <v>0.57207895732537395</v>
      </c>
      <c r="C976" s="10">
        <f t="shared" ca="1" si="91"/>
        <v>12.732248702265018</v>
      </c>
      <c r="D976" s="9">
        <f t="shared" ca="1" si="92"/>
        <v>0.27604567346011522</v>
      </c>
      <c r="E976" s="10">
        <f t="shared" ca="1" si="93"/>
        <v>5.2465473591641478</v>
      </c>
      <c r="F976" s="9">
        <f t="shared" ca="1" si="94"/>
        <v>0.63699678258394765</v>
      </c>
      <c r="G976" s="10">
        <f t="shared" ca="1" si="95"/>
        <v>4.0970436825509244</v>
      </c>
    </row>
    <row r="977" spans="1:7">
      <c r="A977" s="8">
        <v>972</v>
      </c>
      <c r="B977" s="13">
        <f t="shared" ca="1" si="90"/>
        <v>0.36385874896152481</v>
      </c>
      <c r="C977" s="14">
        <f t="shared" ca="1" si="91"/>
        <v>6.785019712097772</v>
      </c>
      <c r="D977" s="13">
        <f t="shared" ca="1" si="92"/>
        <v>6.6667498429255789E-2</v>
      </c>
      <c r="E977" s="14">
        <f t="shared" ca="1" si="93"/>
        <v>4.0954519486160059</v>
      </c>
      <c r="F977" s="13">
        <f t="shared" ca="1" si="94"/>
        <v>0.48258914447812551</v>
      </c>
      <c r="G977" s="10">
        <f t="shared" ca="1" si="95"/>
        <v>3.234279414102196</v>
      </c>
    </row>
    <row r="978" spans="1:7">
      <c r="A978" s="8">
        <v>973</v>
      </c>
      <c r="B978" s="9">
        <f t="shared" ca="1" si="90"/>
        <v>0.9834587868580158</v>
      </c>
      <c r="C978" s="10">
        <f t="shared" ca="1" si="91"/>
        <v>61.528503691920228</v>
      </c>
      <c r="D978" s="9">
        <f t="shared" ca="1" si="92"/>
        <v>0.28521163781577874</v>
      </c>
      <c r="E978" s="10">
        <f t="shared" ca="1" si="93"/>
        <v>5.2894361773688541</v>
      </c>
      <c r="F978" s="9">
        <f t="shared" ca="1" si="94"/>
        <v>0.39034939279435787</v>
      </c>
      <c r="G978" s="10">
        <f t="shared" ca="1" si="95"/>
        <v>2.8093549235297548</v>
      </c>
    </row>
    <row r="979" spans="1:7">
      <c r="A979" s="8">
        <v>974</v>
      </c>
      <c r="B979" s="13">
        <f t="shared" ca="1" si="90"/>
        <v>0.27655694453801882</v>
      </c>
      <c r="C979" s="14">
        <f t="shared" ca="1" si="91"/>
        <v>4.8560016456099984</v>
      </c>
      <c r="D979" s="13">
        <f t="shared" ca="1" si="92"/>
        <v>0.13504713389877854</v>
      </c>
      <c r="E979" s="14">
        <f t="shared" ca="1" si="93"/>
        <v>4.559117830754948</v>
      </c>
      <c r="F979" s="13">
        <f t="shared" ca="1" si="94"/>
        <v>0.76430761844467376</v>
      </c>
      <c r="G979" s="10">
        <f t="shared" ca="1" si="95"/>
        <v>5.1147916592670084</v>
      </c>
    </row>
    <row r="980" spans="1:7">
      <c r="A980" s="8">
        <v>975</v>
      </c>
      <c r="B980" s="9">
        <f t="shared" ca="1" si="90"/>
        <v>0.26487089785256057</v>
      </c>
      <c r="C980" s="10">
        <f t="shared" ca="1" si="91"/>
        <v>4.6156371902043265</v>
      </c>
      <c r="D980" s="9">
        <f t="shared" ca="1" si="92"/>
        <v>0.5402033739361205</v>
      </c>
      <c r="E980" s="10">
        <f t="shared" ca="1" si="93"/>
        <v>6.6178826246518545</v>
      </c>
      <c r="F980" s="9">
        <f t="shared" ca="1" si="94"/>
        <v>0.45831559128136756</v>
      </c>
      <c r="G980" s="10">
        <f t="shared" ca="1" si="95"/>
        <v>3.118004133930818</v>
      </c>
    </row>
    <row r="981" spans="1:7">
      <c r="A981" s="8">
        <v>976</v>
      </c>
      <c r="B981" s="13">
        <f t="shared" ca="1" si="90"/>
        <v>0.54992721189947313</v>
      </c>
      <c r="C981" s="14">
        <f t="shared" ca="1" si="91"/>
        <v>11.975189369454061</v>
      </c>
      <c r="D981" s="13">
        <f t="shared" ca="1" si="92"/>
        <v>0.4971860344828074</v>
      </c>
      <c r="E981" s="14">
        <f t="shared" ca="1" si="93"/>
        <v>6.3717427361941654</v>
      </c>
      <c r="F981" s="13">
        <f t="shared" ca="1" si="94"/>
        <v>0.94956146831222332</v>
      </c>
      <c r="G981" s="10">
        <f t="shared" ca="1" si="95"/>
        <v>8.8850479180597688</v>
      </c>
    </row>
    <row r="982" spans="1:7">
      <c r="A982" s="8">
        <v>977</v>
      </c>
      <c r="B982" s="9">
        <f t="shared" ca="1" si="90"/>
        <v>0.2825132164823303</v>
      </c>
      <c r="C982" s="10">
        <f t="shared" ca="1" si="91"/>
        <v>4.9800112755367056</v>
      </c>
      <c r="D982" s="9">
        <f t="shared" ca="1" si="92"/>
        <v>0.89006679391969745</v>
      </c>
      <c r="E982" s="10">
        <f t="shared" ca="1" si="93"/>
        <v>9.3683100518755893</v>
      </c>
      <c r="F982" s="9">
        <f t="shared" ca="1" si="94"/>
        <v>0.24458383887119539</v>
      </c>
      <c r="G982" s="10">
        <f t="shared" ca="1" si="95"/>
        <v>2.1924509040141671</v>
      </c>
    </row>
    <row r="983" spans="1:7">
      <c r="A983" s="8">
        <v>978</v>
      </c>
      <c r="B983" s="13">
        <f t="shared" ca="1" si="90"/>
        <v>0.39339798280370364</v>
      </c>
      <c r="C983" s="14">
        <f t="shared" ca="1" si="91"/>
        <v>7.4982353747837278</v>
      </c>
      <c r="D983" s="13">
        <f t="shared" ca="1" si="92"/>
        <v>0.31180853883699189</v>
      </c>
      <c r="E983" s="14">
        <f t="shared" ca="1" si="93"/>
        <v>5.4154679700627542</v>
      </c>
      <c r="F983" s="13">
        <f t="shared" ca="1" si="94"/>
        <v>0.61497208171872153</v>
      </c>
      <c r="G983" s="10">
        <f t="shared" ca="1" si="95"/>
        <v>3.9565843539871968</v>
      </c>
    </row>
    <row r="984" spans="1:7">
      <c r="A984" s="8">
        <v>979</v>
      </c>
      <c r="B984" s="9">
        <f t="shared" ca="1" si="90"/>
        <v>0.72371029680294707</v>
      </c>
      <c r="C984" s="10">
        <f t="shared" ca="1" si="91"/>
        <v>19.294579717453601</v>
      </c>
      <c r="D984" s="9">
        <f t="shared" ca="1" si="92"/>
        <v>0.12565808670880441</v>
      </c>
      <c r="E984" s="10">
        <f t="shared" ca="1" si="93"/>
        <v>4.5039433369507238</v>
      </c>
      <c r="F984" s="9">
        <f t="shared" ca="1" si="94"/>
        <v>0.32158035646467786</v>
      </c>
      <c r="G984" s="10">
        <f t="shared" ca="1" si="95"/>
        <v>2.5143882071312023</v>
      </c>
    </row>
    <row r="985" spans="1:7">
      <c r="A985" s="8">
        <v>980</v>
      </c>
      <c r="B985" s="13">
        <f t="shared" ca="1" si="90"/>
        <v>0.36644610891381146</v>
      </c>
      <c r="C985" s="14">
        <f t="shared" ca="1" si="91"/>
        <v>6.8461532105534522</v>
      </c>
      <c r="D985" s="13">
        <f t="shared" ca="1" si="92"/>
        <v>0.91383790060430403</v>
      </c>
      <c r="E985" s="14">
        <f t="shared" ca="1" si="93"/>
        <v>9.6701475879513641</v>
      </c>
      <c r="F985" s="13">
        <f t="shared" ca="1" si="94"/>
        <v>0.67865742149111996</v>
      </c>
      <c r="G985" s="10">
        <f t="shared" ca="1" si="95"/>
        <v>4.3857851789151487</v>
      </c>
    </row>
    <row r="986" spans="1:7">
      <c r="A986" s="8">
        <v>981</v>
      </c>
      <c r="B986" s="9">
        <f t="shared" ca="1" si="90"/>
        <v>0.45168202786079314</v>
      </c>
      <c r="C986" s="10">
        <f t="shared" ca="1" si="91"/>
        <v>9.0134987876846431</v>
      </c>
      <c r="D986" s="9">
        <f t="shared" ca="1" si="92"/>
        <v>0.94139189973632753</v>
      </c>
      <c r="E986" s="10">
        <f t="shared" ca="1" si="93"/>
        <v>10.078461471473609</v>
      </c>
      <c r="F986" s="9">
        <f t="shared" ca="1" si="94"/>
        <v>0.77772047534608446</v>
      </c>
      <c r="G986" s="10">
        <f t="shared" ca="1" si="95"/>
        <v>5.2525326076337704</v>
      </c>
    </row>
    <row r="987" spans="1:7">
      <c r="A987" s="8">
        <v>982</v>
      </c>
      <c r="B987" s="13">
        <f t="shared" ca="1" si="90"/>
        <v>0.36893860187297189</v>
      </c>
      <c r="C987" s="14">
        <f t="shared" ca="1" si="91"/>
        <v>6.905281774186423</v>
      </c>
      <c r="D987" s="13">
        <f t="shared" ca="1" si="92"/>
        <v>0.3224478983045368</v>
      </c>
      <c r="E987" s="14">
        <f t="shared" ca="1" si="93"/>
        <v>5.4665642723897419</v>
      </c>
      <c r="F987" s="13">
        <f t="shared" ca="1" si="94"/>
        <v>0.64140659718358606</v>
      </c>
      <c r="G987" s="10">
        <f t="shared" ca="1" si="95"/>
        <v>4.1261000623351736</v>
      </c>
    </row>
    <row r="988" spans="1:7">
      <c r="A988" s="8">
        <v>983</v>
      </c>
      <c r="B988" s="9">
        <f t="shared" ca="1" si="90"/>
        <v>0.72675716750880559</v>
      </c>
      <c r="C988" s="10">
        <f t="shared" ca="1" si="91"/>
        <v>19.460915742897594</v>
      </c>
      <c r="D988" s="9">
        <f t="shared" ca="1" si="92"/>
        <v>0.68668584941287669</v>
      </c>
      <c r="E988" s="10">
        <f t="shared" ca="1" si="93"/>
        <v>7.557164026549172</v>
      </c>
      <c r="F988" s="9">
        <f t="shared" ca="1" si="94"/>
        <v>9.4772260942648345E-2</v>
      </c>
      <c r="G988" s="10">
        <f t="shared" ca="1" si="95"/>
        <v>1.51110831504337</v>
      </c>
    </row>
    <row r="989" spans="1:7">
      <c r="A989" s="8">
        <v>984</v>
      </c>
      <c r="B989" s="13">
        <f t="shared" ca="1" si="90"/>
        <v>0.58949852262069358</v>
      </c>
      <c r="C989" s="14">
        <f t="shared" ca="1" si="91"/>
        <v>13.355636266814438</v>
      </c>
      <c r="D989" s="13">
        <f t="shared" ca="1" si="92"/>
        <v>0.19403626769799587</v>
      </c>
      <c r="E989" s="14">
        <f t="shared" ca="1" si="93"/>
        <v>4.8688640449652638</v>
      </c>
      <c r="F989" s="13">
        <f t="shared" ca="1" si="94"/>
        <v>0.6555213249230184</v>
      </c>
      <c r="G989" s="10">
        <f t="shared" ca="1" si="95"/>
        <v>4.2213806963805736</v>
      </c>
    </row>
    <row r="990" spans="1:7">
      <c r="A990" s="8">
        <v>985</v>
      </c>
      <c r="B990" s="9">
        <f t="shared" ca="1" si="90"/>
        <v>0.47826443827874832</v>
      </c>
      <c r="C990" s="10">
        <f t="shared" ca="1" si="91"/>
        <v>9.7589160929821528</v>
      </c>
      <c r="D990" s="9">
        <f t="shared" ca="1" si="92"/>
        <v>2.2494074135131714E-2</v>
      </c>
      <c r="E990" s="10">
        <f t="shared" ca="1" si="93"/>
        <v>3.6363122931645835</v>
      </c>
      <c r="F990" s="9">
        <f t="shared" ca="1" si="94"/>
        <v>2.1480935796518663E-2</v>
      </c>
      <c r="G990" s="10">
        <f t="shared" ca="1" si="95"/>
        <v>0.98565558698732336</v>
      </c>
    </row>
    <row r="991" spans="1:7">
      <c r="A991" s="8">
        <v>986</v>
      </c>
      <c r="B991" s="13">
        <f t="shared" ca="1" si="90"/>
        <v>0.86821041723409054</v>
      </c>
      <c r="C991" s="14">
        <f t="shared" ca="1" si="91"/>
        <v>30.398230473485008</v>
      </c>
      <c r="D991" s="13">
        <f t="shared" ca="1" si="92"/>
        <v>0.2875678830195868</v>
      </c>
      <c r="E991" s="14">
        <f t="shared" ca="1" si="93"/>
        <v>5.300505737761541</v>
      </c>
      <c r="F991" s="13">
        <f t="shared" ca="1" si="94"/>
        <v>0.35916998335478401</v>
      </c>
      <c r="G991" s="10">
        <f t="shared" ca="1" si="95"/>
        <v>2.6740469451887217</v>
      </c>
    </row>
    <row r="992" spans="1:7">
      <c r="A992" s="8">
        <v>987</v>
      </c>
      <c r="B992" s="9">
        <f t="shared" ca="1" si="90"/>
        <v>0.66805366742325334</v>
      </c>
      <c r="C992" s="10">
        <f t="shared" ca="1" si="91"/>
        <v>16.541729579961832</v>
      </c>
      <c r="D992" s="9">
        <f t="shared" ca="1" si="92"/>
        <v>0.6012670396485853</v>
      </c>
      <c r="E992" s="10">
        <f t="shared" ca="1" si="93"/>
        <v>6.9879967575689728</v>
      </c>
      <c r="F992" s="9">
        <f t="shared" ca="1" si="94"/>
        <v>0.95894289327041715</v>
      </c>
      <c r="G992" s="10">
        <f t="shared" ca="1" si="95"/>
        <v>9.4227699473606332</v>
      </c>
    </row>
    <row r="993" spans="1:7">
      <c r="A993" s="8">
        <v>988</v>
      </c>
      <c r="B993" s="13">
        <f t="shared" ca="1" si="90"/>
        <v>0.12257606888291783</v>
      </c>
      <c r="C993" s="14">
        <f t="shared" ca="1" si="91"/>
        <v>1.9614752337812318</v>
      </c>
      <c r="D993" s="13">
        <f t="shared" ca="1" si="92"/>
        <v>0.25582182677159415</v>
      </c>
      <c r="E993" s="14">
        <f t="shared" ca="1" si="93"/>
        <v>5.1528673947856412</v>
      </c>
      <c r="F993" s="13">
        <f t="shared" ca="1" si="94"/>
        <v>4.4298117035298845E-2</v>
      </c>
      <c r="G993" s="10">
        <f t="shared" ca="1" si="95"/>
        <v>1.1951722194889227</v>
      </c>
    </row>
    <row r="994" spans="1:7">
      <c r="A994" s="8">
        <v>989</v>
      </c>
      <c r="B994" s="9">
        <f t="shared" ca="1" si="90"/>
        <v>0.49617183882817006</v>
      </c>
      <c r="C994" s="10">
        <f t="shared" ca="1" si="91"/>
        <v>10.282800286550199</v>
      </c>
      <c r="D994" s="9">
        <f t="shared" ca="1" si="92"/>
        <v>0.11565486883162102</v>
      </c>
      <c r="E994" s="10">
        <f t="shared" ca="1" si="93"/>
        <v>4.44284012938689</v>
      </c>
      <c r="F994" s="9">
        <f t="shared" ca="1" si="94"/>
        <v>0.92771936123758936</v>
      </c>
      <c r="G994" s="10">
        <f t="shared" ca="1" si="95"/>
        <v>7.9677994432434076</v>
      </c>
    </row>
    <row r="995" spans="1:7">
      <c r="A995" s="8">
        <v>990</v>
      </c>
      <c r="B995" s="13">
        <f t="shared" ca="1" si="90"/>
        <v>0.14648372928163389</v>
      </c>
      <c r="C995" s="14">
        <f t="shared" ca="1" si="91"/>
        <v>2.3758601010691174</v>
      </c>
      <c r="D995" s="13">
        <f t="shared" ca="1" si="92"/>
        <v>0.40779072817958839</v>
      </c>
      <c r="E995" s="14">
        <f t="shared" ca="1" si="93"/>
        <v>5.8918755640797613</v>
      </c>
      <c r="F995" s="13">
        <f t="shared" ca="1" si="94"/>
        <v>0.37413562648099552</v>
      </c>
      <c r="G995" s="10">
        <f t="shared" ca="1" si="95"/>
        <v>2.7386036855990681</v>
      </c>
    </row>
    <row r="996" spans="1:7">
      <c r="A996" s="8">
        <v>991</v>
      </c>
      <c r="B996" s="9">
        <f t="shared" ca="1" si="90"/>
        <v>0.80890910352914036</v>
      </c>
      <c r="C996" s="10">
        <f t="shared" ca="1" si="91"/>
        <v>24.825090995786056</v>
      </c>
      <c r="D996" s="9">
        <f t="shared" ca="1" si="92"/>
        <v>0.82273449725148962</v>
      </c>
      <c r="E996" s="10">
        <f t="shared" ca="1" si="93"/>
        <v>8.658185122847744</v>
      </c>
      <c r="F996" s="9">
        <f t="shared" ca="1" si="94"/>
        <v>0.95025974536586955</v>
      </c>
      <c r="G996" s="10">
        <f t="shared" ca="1" si="95"/>
        <v>8.9211637753871766</v>
      </c>
    </row>
    <row r="997" spans="1:7">
      <c r="A997" s="8">
        <v>992</v>
      </c>
      <c r="B997" s="13">
        <f t="shared" ca="1" si="90"/>
        <v>0.95256357293248983</v>
      </c>
      <c r="C997" s="14">
        <f t="shared" ca="1" si="91"/>
        <v>45.725472628421585</v>
      </c>
      <c r="D997" s="13">
        <f t="shared" ca="1" si="92"/>
        <v>0.44722738428366882</v>
      </c>
      <c r="E997" s="14">
        <f t="shared" ca="1" si="93"/>
        <v>6.0987565047586054</v>
      </c>
      <c r="F997" s="13">
        <f t="shared" ca="1" si="94"/>
        <v>0.17238800654846109</v>
      </c>
      <c r="G997" s="10">
        <f t="shared" ca="1" si="95"/>
        <v>1.8835111162716556</v>
      </c>
    </row>
    <row r="998" spans="1:7">
      <c r="A998" s="8">
        <v>993</v>
      </c>
      <c r="B998" s="9">
        <f t="shared" ca="1" si="90"/>
        <v>0.74466326761287593</v>
      </c>
      <c r="C998" s="10">
        <f t="shared" ca="1" si="91"/>
        <v>20.477581286657244</v>
      </c>
      <c r="D998" s="9">
        <f t="shared" ca="1" si="92"/>
        <v>0.24811186226153237</v>
      </c>
      <c r="E998" s="10">
        <f t="shared" ca="1" si="93"/>
        <v>5.1174893623385183</v>
      </c>
      <c r="F998" s="9">
        <f t="shared" ca="1" si="94"/>
        <v>0.20982844949272794</v>
      </c>
      <c r="G998" s="10">
        <f t="shared" ca="1" si="95"/>
        <v>2.0458022661333053</v>
      </c>
    </row>
    <row r="999" spans="1:7">
      <c r="A999" s="8">
        <v>994</v>
      </c>
      <c r="B999" s="13">
        <f t="shared" ca="1" si="90"/>
        <v>0.52500537415568971</v>
      </c>
      <c r="C999" s="14">
        <f t="shared" ca="1" si="91"/>
        <v>11.166776835352172</v>
      </c>
      <c r="D999" s="13">
        <f t="shared" ca="1" si="92"/>
        <v>0.2321594688493912</v>
      </c>
      <c r="E999" s="14">
        <f t="shared" ca="1" si="93"/>
        <v>5.0448613628132222</v>
      </c>
      <c r="F999" s="13">
        <f t="shared" ca="1" si="94"/>
        <v>0.11921026052017769</v>
      </c>
      <c r="G999" s="10">
        <f t="shared" ca="1" si="95"/>
        <v>1.6366208659096202</v>
      </c>
    </row>
    <row r="1000" spans="1:7">
      <c r="A1000" s="8">
        <v>995</v>
      </c>
      <c r="B1000" s="9">
        <f t="shared" ca="1" si="90"/>
        <v>0.43726064508332518</v>
      </c>
      <c r="C1000" s="10">
        <f t="shared" ca="1" si="91"/>
        <v>8.6240807333938996</v>
      </c>
      <c r="D1000" s="9">
        <f t="shared" ca="1" si="92"/>
        <v>0.49417254077070283</v>
      </c>
      <c r="E1000" s="10">
        <f t="shared" ca="1" si="93"/>
        <v>6.354902132695508</v>
      </c>
      <c r="F1000" s="9">
        <f t="shared" ca="1" si="94"/>
        <v>0.61833911733707547</v>
      </c>
      <c r="G1000" s="10">
        <f t="shared" ca="1" si="95"/>
        <v>3.9775774939821198</v>
      </c>
    </row>
    <row r="1001" spans="1:7">
      <c r="A1001" s="8">
        <v>996</v>
      </c>
      <c r="B1001" s="13">
        <f t="shared" ca="1" si="90"/>
        <v>1.9180435290957809E-2</v>
      </c>
      <c r="C1001" s="14">
        <f t="shared" ca="1" si="91"/>
        <v>0.2905014944124773</v>
      </c>
      <c r="D1001" s="13">
        <f t="shared" ca="1" si="92"/>
        <v>0.48613897427432051</v>
      </c>
      <c r="E1001" s="14">
        <f t="shared" ca="1" si="93"/>
        <v>6.3102509175959423</v>
      </c>
      <c r="F1001" s="13">
        <f t="shared" ca="1" si="94"/>
        <v>0.58884378284206373</v>
      </c>
      <c r="G1001" s="10">
        <f t="shared" ca="1" si="95"/>
        <v>3.7990196906323406</v>
      </c>
    </row>
    <row r="1002" spans="1:7">
      <c r="A1002" s="8">
        <v>997</v>
      </c>
      <c r="B1002" s="9">
        <f t="shared" ca="1" si="90"/>
        <v>0.21524354852915528</v>
      </c>
      <c r="C1002" s="10">
        <f t="shared" ca="1" si="91"/>
        <v>3.6357279336225021</v>
      </c>
      <c r="D1002" s="9">
        <f t="shared" ca="1" si="92"/>
        <v>0.67172239913158416</v>
      </c>
      <c r="E1002" s="10">
        <f t="shared" ca="1" si="93"/>
        <v>7.4523095031972328</v>
      </c>
      <c r="F1002" s="9">
        <f t="shared" ca="1" si="94"/>
        <v>0.97321818926700754</v>
      </c>
      <c r="G1002" s="10">
        <f t="shared" ca="1" si="95"/>
        <v>10.572003651413569</v>
      </c>
    </row>
    <row r="1003" spans="1:7">
      <c r="A1003" s="8">
        <v>998</v>
      </c>
      <c r="B1003" s="13">
        <f t="shared" ca="1" si="90"/>
        <v>0.43354373182324357</v>
      </c>
      <c r="C1003" s="14">
        <f t="shared" ca="1" si="91"/>
        <v>8.5253309700669</v>
      </c>
      <c r="D1003" s="13">
        <f t="shared" ca="1" si="92"/>
        <v>3.1418547651409945E-2</v>
      </c>
      <c r="E1003" s="14">
        <f t="shared" ca="1" si="93"/>
        <v>3.7520198519489889</v>
      </c>
      <c r="F1003" s="13">
        <f t="shared" ca="1" si="94"/>
        <v>0.2883336116219386</v>
      </c>
      <c r="G1003" s="10">
        <f t="shared" ca="1" si="95"/>
        <v>2.3751113574468312</v>
      </c>
    </row>
    <row r="1004" spans="1:7">
      <c r="A1004" s="8">
        <v>999</v>
      </c>
      <c r="B1004" s="9">
        <f t="shared" ca="1" si="90"/>
        <v>0.6549658707962468</v>
      </c>
      <c r="C1004" s="10">
        <f t="shared" ca="1" si="91"/>
        <v>15.961679124229274</v>
      </c>
      <c r="D1004" s="9">
        <f t="shared" ca="1" si="92"/>
        <v>0.78535363168978189</v>
      </c>
      <c r="E1004" s="10">
        <f t="shared" ca="1" si="93"/>
        <v>8.3226747215477737</v>
      </c>
      <c r="F1004" s="9">
        <f t="shared" ca="1" si="94"/>
        <v>0.98647676722775046</v>
      </c>
      <c r="G1004" s="10">
        <f t="shared" ca="1" si="95"/>
        <v>12.50974481569855</v>
      </c>
    </row>
    <row r="1005" spans="1:7">
      <c r="A1005" s="8">
        <v>1000</v>
      </c>
      <c r="B1005" s="13">
        <f t="shared" ca="1" si="90"/>
        <v>0.23577066285918391</v>
      </c>
      <c r="C1005" s="14">
        <f t="shared" ca="1" si="91"/>
        <v>4.033310330351755</v>
      </c>
      <c r="D1005" s="13">
        <f t="shared" ca="1" si="92"/>
        <v>5.0321180095405649E-2</v>
      </c>
      <c r="E1005" s="14">
        <f t="shared" ca="1" si="93"/>
        <v>3.9517254024755784</v>
      </c>
      <c r="F1005" s="13">
        <f t="shared" ca="1" si="94"/>
        <v>8.8110818662031298E-2</v>
      </c>
      <c r="G1005" s="10">
        <f t="shared" ca="1" si="95"/>
        <v>1.4747841957194145</v>
      </c>
    </row>
  </sheetData>
  <conditionalFormatting sqref="C6:C1005">
    <cfRule type="cellIs" dxfId="2" priority="1" stopIfTrue="1" operator="greaterThan">
      <formula>40</formula>
    </cfRule>
  </conditionalFormatting>
  <conditionalFormatting sqref="E6:E1005">
    <cfRule type="cellIs" dxfId="1" priority="2" stopIfTrue="1" operator="greaterThan">
      <formula>10</formula>
    </cfRule>
  </conditionalFormatting>
  <conditionalFormatting sqref="G6:G1005">
    <cfRule type="cellIs" dxfId="0" priority="3" stopIfTrue="1" operator="greaterThan">
      <formula>15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OmniMarket_Pipeline_Continuo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2026-07-17T02:44:04Z</dcterms:created>
  <dcterms:modified xsi:type="dcterms:W3CDTF">2026-07-17T03:01:11Z</dcterms:modified>
</cp:coreProperties>
</file>