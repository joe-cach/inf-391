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-3\Desktop\391\code\Unidad3\practicaEntregar\"/>
    </mc:Choice>
  </mc:AlternateContent>
  <xr:revisionPtr revIDLastSave="0" documentId="13_ncr:1_{AB451BB3-0CBE-4E93-8D71-B8742341555A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OmniMarket_Valid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1" l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5" i="1"/>
  <c r="G1005" i="1"/>
  <c r="F1005" i="1"/>
  <c r="D1005" i="1"/>
  <c r="E1005" i="1" s="1"/>
  <c r="B1005" i="1"/>
  <c r="C1005" i="1" s="1"/>
  <c r="G1004" i="1"/>
  <c r="F1004" i="1"/>
  <c r="D1004" i="1"/>
  <c r="E1004" i="1" s="1"/>
  <c r="B1004" i="1"/>
  <c r="C1004" i="1" s="1"/>
  <c r="G1003" i="1"/>
  <c r="F1003" i="1"/>
  <c r="D1003" i="1"/>
  <c r="E1003" i="1" s="1"/>
  <c r="B1003" i="1"/>
  <c r="C1003" i="1" s="1"/>
  <c r="G1002" i="1"/>
  <c r="F1002" i="1"/>
  <c r="D1002" i="1"/>
  <c r="E1002" i="1" s="1"/>
  <c r="B1002" i="1"/>
  <c r="C1002" i="1" s="1"/>
  <c r="G1001" i="1"/>
  <c r="F1001" i="1"/>
  <c r="D1001" i="1"/>
  <c r="E1001" i="1" s="1"/>
  <c r="B1001" i="1"/>
  <c r="C1001" i="1" s="1"/>
  <c r="G1000" i="1"/>
  <c r="F1000" i="1"/>
  <c r="D1000" i="1"/>
  <c r="E1000" i="1" s="1"/>
  <c r="B1000" i="1"/>
  <c r="C1000" i="1" s="1"/>
  <c r="G999" i="1"/>
  <c r="F999" i="1"/>
  <c r="D999" i="1"/>
  <c r="E999" i="1" s="1"/>
  <c r="B999" i="1"/>
  <c r="C999" i="1" s="1"/>
  <c r="G998" i="1"/>
  <c r="F998" i="1"/>
  <c r="D998" i="1"/>
  <c r="E998" i="1" s="1"/>
  <c r="B998" i="1"/>
  <c r="C998" i="1" s="1"/>
  <c r="G997" i="1"/>
  <c r="F997" i="1"/>
  <c r="D997" i="1"/>
  <c r="E997" i="1" s="1"/>
  <c r="B997" i="1"/>
  <c r="C997" i="1" s="1"/>
  <c r="G996" i="1"/>
  <c r="F996" i="1"/>
  <c r="D996" i="1"/>
  <c r="E996" i="1" s="1"/>
  <c r="B996" i="1"/>
  <c r="C996" i="1" s="1"/>
  <c r="G995" i="1"/>
  <c r="F995" i="1"/>
  <c r="D995" i="1"/>
  <c r="E995" i="1" s="1"/>
  <c r="B995" i="1"/>
  <c r="C995" i="1" s="1"/>
  <c r="G994" i="1"/>
  <c r="F994" i="1"/>
  <c r="D994" i="1"/>
  <c r="E994" i="1" s="1"/>
  <c r="B994" i="1"/>
  <c r="C994" i="1" s="1"/>
  <c r="G993" i="1"/>
  <c r="F993" i="1"/>
  <c r="D993" i="1"/>
  <c r="E993" i="1" s="1"/>
  <c r="B993" i="1"/>
  <c r="C993" i="1" s="1"/>
  <c r="G992" i="1"/>
  <c r="F992" i="1"/>
  <c r="D992" i="1"/>
  <c r="E992" i="1" s="1"/>
  <c r="B992" i="1"/>
  <c r="C992" i="1" s="1"/>
  <c r="G991" i="1"/>
  <c r="F991" i="1"/>
  <c r="D991" i="1"/>
  <c r="E991" i="1" s="1"/>
  <c r="B991" i="1"/>
  <c r="C991" i="1" s="1"/>
  <c r="G990" i="1"/>
  <c r="F990" i="1"/>
  <c r="D990" i="1"/>
  <c r="E990" i="1" s="1"/>
  <c r="B990" i="1"/>
  <c r="C990" i="1" s="1"/>
  <c r="G989" i="1"/>
  <c r="F989" i="1"/>
  <c r="D989" i="1"/>
  <c r="E989" i="1" s="1"/>
  <c r="B989" i="1"/>
  <c r="C989" i="1" s="1"/>
  <c r="G988" i="1"/>
  <c r="F988" i="1"/>
  <c r="D988" i="1"/>
  <c r="E988" i="1" s="1"/>
  <c r="B988" i="1"/>
  <c r="C988" i="1" s="1"/>
  <c r="G987" i="1"/>
  <c r="F987" i="1"/>
  <c r="D987" i="1"/>
  <c r="E987" i="1" s="1"/>
  <c r="B987" i="1"/>
  <c r="C987" i="1" s="1"/>
  <c r="G986" i="1"/>
  <c r="F986" i="1"/>
  <c r="D986" i="1"/>
  <c r="E986" i="1" s="1"/>
  <c r="B986" i="1"/>
  <c r="C986" i="1" s="1"/>
  <c r="G985" i="1"/>
  <c r="F985" i="1"/>
  <c r="D985" i="1"/>
  <c r="E985" i="1" s="1"/>
  <c r="B985" i="1"/>
  <c r="C985" i="1" s="1"/>
  <c r="G984" i="1"/>
  <c r="F984" i="1"/>
  <c r="D984" i="1"/>
  <c r="E984" i="1" s="1"/>
  <c r="B984" i="1"/>
  <c r="C984" i="1" s="1"/>
  <c r="G983" i="1"/>
  <c r="F983" i="1"/>
  <c r="D983" i="1"/>
  <c r="E983" i="1" s="1"/>
  <c r="B983" i="1"/>
  <c r="C983" i="1" s="1"/>
  <c r="G982" i="1"/>
  <c r="F982" i="1"/>
  <c r="D982" i="1"/>
  <c r="E982" i="1" s="1"/>
  <c r="B982" i="1"/>
  <c r="C982" i="1" s="1"/>
  <c r="G981" i="1"/>
  <c r="F981" i="1"/>
  <c r="D981" i="1"/>
  <c r="E981" i="1" s="1"/>
  <c r="B981" i="1"/>
  <c r="C981" i="1" s="1"/>
  <c r="G980" i="1"/>
  <c r="F980" i="1"/>
  <c r="D980" i="1"/>
  <c r="E980" i="1" s="1"/>
  <c r="B980" i="1"/>
  <c r="C980" i="1" s="1"/>
  <c r="G979" i="1"/>
  <c r="F979" i="1"/>
  <c r="D979" i="1"/>
  <c r="E979" i="1" s="1"/>
  <c r="B979" i="1"/>
  <c r="C979" i="1" s="1"/>
  <c r="G978" i="1"/>
  <c r="F978" i="1"/>
  <c r="D978" i="1"/>
  <c r="E978" i="1" s="1"/>
  <c r="B978" i="1"/>
  <c r="C978" i="1" s="1"/>
  <c r="G977" i="1"/>
  <c r="F977" i="1"/>
  <c r="D977" i="1"/>
  <c r="E977" i="1" s="1"/>
  <c r="B977" i="1"/>
  <c r="C977" i="1" s="1"/>
  <c r="G976" i="1"/>
  <c r="F976" i="1"/>
  <c r="D976" i="1"/>
  <c r="E976" i="1" s="1"/>
  <c r="B976" i="1"/>
  <c r="C976" i="1" s="1"/>
  <c r="G975" i="1"/>
  <c r="F975" i="1"/>
  <c r="D975" i="1"/>
  <c r="E975" i="1" s="1"/>
  <c r="B975" i="1"/>
  <c r="C975" i="1" s="1"/>
  <c r="G974" i="1"/>
  <c r="F974" i="1"/>
  <c r="D974" i="1"/>
  <c r="E974" i="1" s="1"/>
  <c r="B974" i="1"/>
  <c r="C974" i="1" s="1"/>
  <c r="G973" i="1"/>
  <c r="F973" i="1"/>
  <c r="D973" i="1"/>
  <c r="E973" i="1" s="1"/>
  <c r="B973" i="1"/>
  <c r="C973" i="1" s="1"/>
  <c r="G972" i="1"/>
  <c r="F972" i="1"/>
  <c r="D972" i="1"/>
  <c r="E972" i="1" s="1"/>
  <c r="B972" i="1"/>
  <c r="C972" i="1" s="1"/>
  <c r="G971" i="1"/>
  <c r="F971" i="1"/>
  <c r="D971" i="1"/>
  <c r="E971" i="1" s="1"/>
  <c r="B971" i="1"/>
  <c r="C971" i="1" s="1"/>
  <c r="G970" i="1"/>
  <c r="F970" i="1"/>
  <c r="D970" i="1"/>
  <c r="E970" i="1" s="1"/>
  <c r="B970" i="1"/>
  <c r="C970" i="1" s="1"/>
  <c r="G969" i="1"/>
  <c r="F969" i="1"/>
  <c r="D969" i="1"/>
  <c r="E969" i="1" s="1"/>
  <c r="B969" i="1"/>
  <c r="C969" i="1" s="1"/>
  <c r="G968" i="1"/>
  <c r="F968" i="1"/>
  <c r="D968" i="1"/>
  <c r="E968" i="1" s="1"/>
  <c r="B968" i="1"/>
  <c r="C968" i="1" s="1"/>
  <c r="G967" i="1"/>
  <c r="F967" i="1"/>
  <c r="D967" i="1"/>
  <c r="E967" i="1" s="1"/>
  <c r="B967" i="1"/>
  <c r="C967" i="1" s="1"/>
  <c r="G966" i="1"/>
  <c r="F966" i="1"/>
  <c r="D966" i="1"/>
  <c r="E966" i="1" s="1"/>
  <c r="B966" i="1"/>
  <c r="C966" i="1" s="1"/>
  <c r="G965" i="1"/>
  <c r="F965" i="1"/>
  <c r="D965" i="1"/>
  <c r="E965" i="1" s="1"/>
  <c r="B965" i="1"/>
  <c r="C965" i="1" s="1"/>
  <c r="G964" i="1"/>
  <c r="F964" i="1"/>
  <c r="D964" i="1"/>
  <c r="E964" i="1" s="1"/>
  <c r="B964" i="1"/>
  <c r="C964" i="1" s="1"/>
  <c r="G963" i="1"/>
  <c r="F963" i="1"/>
  <c r="D963" i="1"/>
  <c r="E963" i="1" s="1"/>
  <c r="B963" i="1"/>
  <c r="C963" i="1" s="1"/>
  <c r="G962" i="1"/>
  <c r="F962" i="1"/>
  <c r="D962" i="1"/>
  <c r="E962" i="1" s="1"/>
  <c r="B962" i="1"/>
  <c r="C962" i="1" s="1"/>
  <c r="G961" i="1"/>
  <c r="F961" i="1"/>
  <c r="D961" i="1"/>
  <c r="E961" i="1" s="1"/>
  <c r="B961" i="1"/>
  <c r="C961" i="1" s="1"/>
  <c r="G960" i="1"/>
  <c r="F960" i="1"/>
  <c r="D960" i="1"/>
  <c r="E960" i="1" s="1"/>
  <c r="B960" i="1"/>
  <c r="C960" i="1" s="1"/>
  <c r="G959" i="1"/>
  <c r="F959" i="1"/>
  <c r="D959" i="1"/>
  <c r="E959" i="1" s="1"/>
  <c r="B959" i="1"/>
  <c r="C959" i="1" s="1"/>
  <c r="G958" i="1"/>
  <c r="F958" i="1"/>
  <c r="D958" i="1"/>
  <c r="E958" i="1" s="1"/>
  <c r="B958" i="1"/>
  <c r="C958" i="1" s="1"/>
  <c r="G957" i="1"/>
  <c r="F957" i="1"/>
  <c r="D957" i="1"/>
  <c r="E957" i="1" s="1"/>
  <c r="B957" i="1"/>
  <c r="C957" i="1" s="1"/>
  <c r="G956" i="1"/>
  <c r="F956" i="1"/>
  <c r="D956" i="1"/>
  <c r="E956" i="1" s="1"/>
  <c r="B956" i="1"/>
  <c r="C956" i="1" s="1"/>
  <c r="G955" i="1"/>
  <c r="F955" i="1"/>
  <c r="D955" i="1"/>
  <c r="E955" i="1" s="1"/>
  <c r="B955" i="1"/>
  <c r="C955" i="1" s="1"/>
  <c r="G954" i="1"/>
  <c r="F954" i="1"/>
  <c r="D954" i="1"/>
  <c r="E954" i="1" s="1"/>
  <c r="B954" i="1"/>
  <c r="C954" i="1" s="1"/>
  <c r="G953" i="1"/>
  <c r="F953" i="1"/>
  <c r="D953" i="1"/>
  <c r="E953" i="1" s="1"/>
  <c r="B953" i="1"/>
  <c r="C953" i="1" s="1"/>
  <c r="G952" i="1"/>
  <c r="F952" i="1"/>
  <c r="D952" i="1"/>
  <c r="E952" i="1" s="1"/>
  <c r="B952" i="1"/>
  <c r="C952" i="1" s="1"/>
  <c r="G951" i="1"/>
  <c r="F951" i="1"/>
  <c r="D951" i="1"/>
  <c r="E951" i="1" s="1"/>
  <c r="B951" i="1"/>
  <c r="C951" i="1" s="1"/>
  <c r="G950" i="1"/>
  <c r="F950" i="1"/>
  <c r="D950" i="1"/>
  <c r="E950" i="1" s="1"/>
  <c r="B950" i="1"/>
  <c r="C950" i="1" s="1"/>
  <c r="G949" i="1"/>
  <c r="F949" i="1"/>
  <c r="D949" i="1"/>
  <c r="E949" i="1" s="1"/>
  <c r="B949" i="1"/>
  <c r="C949" i="1" s="1"/>
  <c r="G948" i="1"/>
  <c r="F948" i="1"/>
  <c r="D948" i="1"/>
  <c r="E948" i="1" s="1"/>
  <c r="B948" i="1"/>
  <c r="C948" i="1" s="1"/>
  <c r="G947" i="1"/>
  <c r="F947" i="1"/>
  <c r="D947" i="1"/>
  <c r="E947" i="1" s="1"/>
  <c r="B947" i="1"/>
  <c r="C947" i="1" s="1"/>
  <c r="G946" i="1"/>
  <c r="F946" i="1"/>
  <c r="D946" i="1"/>
  <c r="E946" i="1" s="1"/>
  <c r="B946" i="1"/>
  <c r="C946" i="1" s="1"/>
  <c r="G945" i="1"/>
  <c r="F945" i="1"/>
  <c r="D945" i="1"/>
  <c r="E945" i="1" s="1"/>
  <c r="B945" i="1"/>
  <c r="C945" i="1" s="1"/>
  <c r="G944" i="1"/>
  <c r="F944" i="1"/>
  <c r="D944" i="1"/>
  <c r="E944" i="1" s="1"/>
  <c r="B944" i="1"/>
  <c r="C944" i="1" s="1"/>
  <c r="G943" i="1"/>
  <c r="F943" i="1"/>
  <c r="D943" i="1"/>
  <c r="E943" i="1" s="1"/>
  <c r="B943" i="1"/>
  <c r="C943" i="1" s="1"/>
  <c r="G942" i="1"/>
  <c r="F942" i="1"/>
  <c r="D942" i="1"/>
  <c r="E942" i="1" s="1"/>
  <c r="B942" i="1"/>
  <c r="C942" i="1" s="1"/>
  <c r="G941" i="1"/>
  <c r="F941" i="1"/>
  <c r="D941" i="1"/>
  <c r="E941" i="1" s="1"/>
  <c r="B941" i="1"/>
  <c r="C941" i="1" s="1"/>
  <c r="G940" i="1"/>
  <c r="F940" i="1"/>
  <c r="D940" i="1"/>
  <c r="E940" i="1" s="1"/>
  <c r="B940" i="1"/>
  <c r="C940" i="1" s="1"/>
  <c r="G939" i="1"/>
  <c r="F939" i="1"/>
  <c r="D939" i="1"/>
  <c r="E939" i="1" s="1"/>
  <c r="B939" i="1"/>
  <c r="C939" i="1" s="1"/>
  <c r="G938" i="1"/>
  <c r="F938" i="1"/>
  <c r="D938" i="1"/>
  <c r="E938" i="1" s="1"/>
  <c r="B938" i="1"/>
  <c r="C938" i="1" s="1"/>
  <c r="G937" i="1"/>
  <c r="F937" i="1"/>
  <c r="D937" i="1"/>
  <c r="E937" i="1" s="1"/>
  <c r="B937" i="1"/>
  <c r="C937" i="1" s="1"/>
  <c r="G936" i="1"/>
  <c r="F936" i="1"/>
  <c r="D936" i="1"/>
  <c r="E936" i="1" s="1"/>
  <c r="B936" i="1"/>
  <c r="C936" i="1" s="1"/>
  <c r="G935" i="1"/>
  <c r="F935" i="1"/>
  <c r="D935" i="1"/>
  <c r="E935" i="1" s="1"/>
  <c r="B935" i="1"/>
  <c r="C935" i="1" s="1"/>
  <c r="G934" i="1"/>
  <c r="F934" i="1"/>
  <c r="D934" i="1"/>
  <c r="E934" i="1" s="1"/>
  <c r="B934" i="1"/>
  <c r="C934" i="1" s="1"/>
  <c r="G933" i="1"/>
  <c r="F933" i="1"/>
  <c r="D933" i="1"/>
  <c r="E933" i="1" s="1"/>
  <c r="B933" i="1"/>
  <c r="C933" i="1" s="1"/>
  <c r="G932" i="1"/>
  <c r="F932" i="1"/>
  <c r="D932" i="1"/>
  <c r="E932" i="1" s="1"/>
  <c r="B932" i="1"/>
  <c r="C932" i="1" s="1"/>
  <c r="G931" i="1"/>
  <c r="F931" i="1"/>
  <c r="D931" i="1"/>
  <c r="E931" i="1" s="1"/>
  <c r="B931" i="1"/>
  <c r="C931" i="1" s="1"/>
  <c r="G930" i="1"/>
  <c r="F930" i="1"/>
  <c r="D930" i="1"/>
  <c r="E930" i="1" s="1"/>
  <c r="B930" i="1"/>
  <c r="C930" i="1" s="1"/>
  <c r="G929" i="1"/>
  <c r="F929" i="1"/>
  <c r="D929" i="1"/>
  <c r="E929" i="1" s="1"/>
  <c r="B929" i="1"/>
  <c r="C929" i="1" s="1"/>
  <c r="G928" i="1"/>
  <c r="F928" i="1"/>
  <c r="D928" i="1"/>
  <c r="E928" i="1" s="1"/>
  <c r="B928" i="1"/>
  <c r="C928" i="1" s="1"/>
  <c r="G927" i="1"/>
  <c r="F927" i="1"/>
  <c r="D927" i="1"/>
  <c r="E927" i="1" s="1"/>
  <c r="B927" i="1"/>
  <c r="C927" i="1" s="1"/>
  <c r="G926" i="1"/>
  <c r="F926" i="1"/>
  <c r="D926" i="1"/>
  <c r="E926" i="1" s="1"/>
  <c r="B926" i="1"/>
  <c r="C926" i="1" s="1"/>
  <c r="G925" i="1"/>
  <c r="F925" i="1"/>
  <c r="D925" i="1"/>
  <c r="E925" i="1" s="1"/>
  <c r="B925" i="1"/>
  <c r="C925" i="1" s="1"/>
  <c r="G924" i="1"/>
  <c r="F924" i="1"/>
  <c r="D924" i="1"/>
  <c r="E924" i="1" s="1"/>
  <c r="B924" i="1"/>
  <c r="C924" i="1" s="1"/>
  <c r="G923" i="1"/>
  <c r="F923" i="1"/>
  <c r="D923" i="1"/>
  <c r="E923" i="1" s="1"/>
  <c r="B923" i="1"/>
  <c r="C923" i="1" s="1"/>
  <c r="G922" i="1"/>
  <c r="F922" i="1"/>
  <c r="D922" i="1"/>
  <c r="E922" i="1" s="1"/>
  <c r="B922" i="1"/>
  <c r="C922" i="1" s="1"/>
  <c r="G921" i="1"/>
  <c r="F921" i="1"/>
  <c r="D921" i="1"/>
  <c r="E921" i="1" s="1"/>
  <c r="B921" i="1"/>
  <c r="C921" i="1" s="1"/>
  <c r="G920" i="1"/>
  <c r="F920" i="1"/>
  <c r="D920" i="1"/>
  <c r="E920" i="1" s="1"/>
  <c r="B920" i="1"/>
  <c r="C920" i="1" s="1"/>
  <c r="G919" i="1"/>
  <c r="F919" i="1"/>
  <c r="D919" i="1"/>
  <c r="E919" i="1" s="1"/>
  <c r="B919" i="1"/>
  <c r="C919" i="1" s="1"/>
  <c r="G918" i="1"/>
  <c r="F918" i="1"/>
  <c r="D918" i="1"/>
  <c r="E918" i="1" s="1"/>
  <c r="B918" i="1"/>
  <c r="C918" i="1" s="1"/>
  <c r="G917" i="1"/>
  <c r="F917" i="1"/>
  <c r="D917" i="1"/>
  <c r="E917" i="1" s="1"/>
  <c r="B917" i="1"/>
  <c r="C917" i="1" s="1"/>
  <c r="G916" i="1"/>
  <c r="F916" i="1"/>
  <c r="D916" i="1"/>
  <c r="E916" i="1" s="1"/>
  <c r="B916" i="1"/>
  <c r="C916" i="1" s="1"/>
  <c r="G915" i="1"/>
  <c r="F915" i="1"/>
  <c r="D915" i="1"/>
  <c r="E915" i="1" s="1"/>
  <c r="B915" i="1"/>
  <c r="C915" i="1" s="1"/>
  <c r="G914" i="1"/>
  <c r="F914" i="1"/>
  <c r="D914" i="1"/>
  <c r="E914" i="1" s="1"/>
  <c r="B914" i="1"/>
  <c r="C914" i="1" s="1"/>
  <c r="G913" i="1"/>
  <c r="F913" i="1"/>
  <c r="D913" i="1"/>
  <c r="E913" i="1" s="1"/>
  <c r="B913" i="1"/>
  <c r="C913" i="1" s="1"/>
  <c r="G912" i="1"/>
  <c r="F912" i="1"/>
  <c r="D912" i="1"/>
  <c r="E912" i="1" s="1"/>
  <c r="B912" i="1"/>
  <c r="C912" i="1" s="1"/>
  <c r="G911" i="1"/>
  <c r="F911" i="1"/>
  <c r="D911" i="1"/>
  <c r="E911" i="1" s="1"/>
  <c r="B911" i="1"/>
  <c r="C911" i="1" s="1"/>
  <c r="G910" i="1"/>
  <c r="F910" i="1"/>
  <c r="D910" i="1"/>
  <c r="E910" i="1" s="1"/>
  <c r="B910" i="1"/>
  <c r="C910" i="1" s="1"/>
  <c r="G909" i="1"/>
  <c r="F909" i="1"/>
  <c r="D909" i="1"/>
  <c r="E909" i="1" s="1"/>
  <c r="B909" i="1"/>
  <c r="C909" i="1" s="1"/>
  <c r="G908" i="1"/>
  <c r="F908" i="1"/>
  <c r="D908" i="1"/>
  <c r="E908" i="1" s="1"/>
  <c r="B908" i="1"/>
  <c r="C908" i="1" s="1"/>
  <c r="G907" i="1"/>
  <c r="F907" i="1"/>
  <c r="D907" i="1"/>
  <c r="E907" i="1" s="1"/>
  <c r="B907" i="1"/>
  <c r="C907" i="1" s="1"/>
  <c r="G906" i="1"/>
  <c r="F906" i="1"/>
  <c r="D906" i="1"/>
  <c r="E906" i="1" s="1"/>
  <c r="B906" i="1"/>
  <c r="C906" i="1" s="1"/>
  <c r="G905" i="1"/>
  <c r="F905" i="1"/>
  <c r="D905" i="1"/>
  <c r="E905" i="1" s="1"/>
  <c r="B905" i="1"/>
  <c r="C905" i="1" s="1"/>
  <c r="G904" i="1"/>
  <c r="F904" i="1"/>
  <c r="D904" i="1"/>
  <c r="E904" i="1" s="1"/>
  <c r="B904" i="1"/>
  <c r="C904" i="1" s="1"/>
  <c r="G903" i="1"/>
  <c r="F903" i="1"/>
  <c r="D903" i="1"/>
  <c r="E903" i="1" s="1"/>
  <c r="B903" i="1"/>
  <c r="C903" i="1" s="1"/>
  <c r="G902" i="1"/>
  <c r="F902" i="1"/>
  <c r="D902" i="1"/>
  <c r="E902" i="1" s="1"/>
  <c r="B902" i="1"/>
  <c r="C902" i="1" s="1"/>
  <c r="G901" i="1"/>
  <c r="F901" i="1"/>
  <c r="D901" i="1"/>
  <c r="E901" i="1" s="1"/>
  <c r="B901" i="1"/>
  <c r="C901" i="1" s="1"/>
  <c r="G900" i="1"/>
  <c r="F900" i="1"/>
  <c r="D900" i="1"/>
  <c r="E900" i="1" s="1"/>
  <c r="B900" i="1"/>
  <c r="C900" i="1" s="1"/>
  <c r="G899" i="1"/>
  <c r="F899" i="1"/>
  <c r="D899" i="1"/>
  <c r="E899" i="1" s="1"/>
  <c r="B899" i="1"/>
  <c r="C899" i="1" s="1"/>
  <c r="G898" i="1"/>
  <c r="F898" i="1"/>
  <c r="D898" i="1"/>
  <c r="E898" i="1" s="1"/>
  <c r="B898" i="1"/>
  <c r="C898" i="1" s="1"/>
  <c r="G897" i="1"/>
  <c r="F897" i="1"/>
  <c r="D897" i="1"/>
  <c r="E897" i="1" s="1"/>
  <c r="B897" i="1"/>
  <c r="C897" i="1" s="1"/>
  <c r="G896" i="1"/>
  <c r="F896" i="1"/>
  <c r="D896" i="1"/>
  <c r="E896" i="1" s="1"/>
  <c r="B896" i="1"/>
  <c r="C896" i="1" s="1"/>
  <c r="G895" i="1"/>
  <c r="F895" i="1"/>
  <c r="D895" i="1"/>
  <c r="E895" i="1" s="1"/>
  <c r="B895" i="1"/>
  <c r="C895" i="1" s="1"/>
  <c r="G894" i="1"/>
  <c r="F894" i="1"/>
  <c r="D894" i="1"/>
  <c r="E894" i="1" s="1"/>
  <c r="B894" i="1"/>
  <c r="C894" i="1" s="1"/>
  <c r="G893" i="1"/>
  <c r="F893" i="1"/>
  <c r="D893" i="1"/>
  <c r="E893" i="1" s="1"/>
  <c r="B893" i="1"/>
  <c r="C893" i="1" s="1"/>
  <c r="G892" i="1"/>
  <c r="F892" i="1"/>
  <c r="D892" i="1"/>
  <c r="E892" i="1" s="1"/>
  <c r="B892" i="1"/>
  <c r="C892" i="1" s="1"/>
  <c r="G891" i="1"/>
  <c r="F891" i="1"/>
  <c r="D891" i="1"/>
  <c r="E891" i="1" s="1"/>
  <c r="B891" i="1"/>
  <c r="C891" i="1" s="1"/>
  <c r="G890" i="1"/>
  <c r="F890" i="1"/>
  <c r="D890" i="1"/>
  <c r="E890" i="1" s="1"/>
  <c r="B890" i="1"/>
  <c r="C890" i="1" s="1"/>
  <c r="G889" i="1"/>
  <c r="F889" i="1"/>
  <c r="D889" i="1"/>
  <c r="E889" i="1" s="1"/>
  <c r="B889" i="1"/>
  <c r="C889" i="1" s="1"/>
  <c r="G888" i="1"/>
  <c r="F888" i="1"/>
  <c r="D888" i="1"/>
  <c r="E888" i="1" s="1"/>
  <c r="B888" i="1"/>
  <c r="C888" i="1" s="1"/>
  <c r="G887" i="1"/>
  <c r="F887" i="1"/>
  <c r="D887" i="1"/>
  <c r="E887" i="1" s="1"/>
  <c r="B887" i="1"/>
  <c r="C887" i="1" s="1"/>
  <c r="G886" i="1"/>
  <c r="F886" i="1"/>
  <c r="D886" i="1"/>
  <c r="E886" i="1" s="1"/>
  <c r="B886" i="1"/>
  <c r="C886" i="1" s="1"/>
  <c r="G885" i="1"/>
  <c r="F885" i="1"/>
  <c r="D885" i="1"/>
  <c r="E885" i="1" s="1"/>
  <c r="B885" i="1"/>
  <c r="C885" i="1" s="1"/>
  <c r="G884" i="1"/>
  <c r="F884" i="1"/>
  <c r="D884" i="1"/>
  <c r="E884" i="1" s="1"/>
  <c r="B884" i="1"/>
  <c r="C884" i="1" s="1"/>
  <c r="G883" i="1"/>
  <c r="F883" i="1"/>
  <c r="D883" i="1"/>
  <c r="E883" i="1" s="1"/>
  <c r="B883" i="1"/>
  <c r="C883" i="1" s="1"/>
  <c r="G882" i="1"/>
  <c r="F882" i="1"/>
  <c r="D882" i="1"/>
  <c r="E882" i="1" s="1"/>
  <c r="B882" i="1"/>
  <c r="C882" i="1" s="1"/>
  <c r="G881" i="1"/>
  <c r="F881" i="1"/>
  <c r="D881" i="1"/>
  <c r="E881" i="1" s="1"/>
  <c r="B881" i="1"/>
  <c r="C881" i="1" s="1"/>
  <c r="G880" i="1"/>
  <c r="F880" i="1"/>
  <c r="D880" i="1"/>
  <c r="E880" i="1" s="1"/>
  <c r="B880" i="1"/>
  <c r="C880" i="1" s="1"/>
  <c r="G879" i="1"/>
  <c r="F879" i="1"/>
  <c r="D879" i="1"/>
  <c r="E879" i="1" s="1"/>
  <c r="B879" i="1"/>
  <c r="C879" i="1" s="1"/>
  <c r="G878" i="1"/>
  <c r="F878" i="1"/>
  <c r="D878" i="1"/>
  <c r="E878" i="1" s="1"/>
  <c r="B878" i="1"/>
  <c r="C878" i="1" s="1"/>
  <c r="G877" i="1"/>
  <c r="F877" i="1"/>
  <c r="D877" i="1"/>
  <c r="E877" i="1" s="1"/>
  <c r="B877" i="1"/>
  <c r="C877" i="1" s="1"/>
  <c r="G876" i="1"/>
  <c r="F876" i="1"/>
  <c r="D876" i="1"/>
  <c r="E876" i="1" s="1"/>
  <c r="B876" i="1"/>
  <c r="C876" i="1" s="1"/>
  <c r="G875" i="1"/>
  <c r="F875" i="1"/>
  <c r="D875" i="1"/>
  <c r="E875" i="1" s="1"/>
  <c r="B875" i="1"/>
  <c r="C875" i="1" s="1"/>
  <c r="G874" i="1"/>
  <c r="F874" i="1"/>
  <c r="D874" i="1"/>
  <c r="E874" i="1" s="1"/>
  <c r="B874" i="1"/>
  <c r="C874" i="1" s="1"/>
  <c r="G873" i="1"/>
  <c r="F873" i="1"/>
  <c r="D873" i="1"/>
  <c r="E873" i="1" s="1"/>
  <c r="B873" i="1"/>
  <c r="C873" i="1" s="1"/>
  <c r="G872" i="1"/>
  <c r="F872" i="1"/>
  <c r="D872" i="1"/>
  <c r="E872" i="1" s="1"/>
  <c r="B872" i="1"/>
  <c r="C872" i="1" s="1"/>
  <c r="G871" i="1"/>
  <c r="F871" i="1"/>
  <c r="D871" i="1"/>
  <c r="E871" i="1" s="1"/>
  <c r="B871" i="1"/>
  <c r="C871" i="1" s="1"/>
  <c r="G870" i="1"/>
  <c r="F870" i="1"/>
  <c r="D870" i="1"/>
  <c r="E870" i="1" s="1"/>
  <c r="B870" i="1"/>
  <c r="C870" i="1" s="1"/>
  <c r="G869" i="1"/>
  <c r="F869" i="1"/>
  <c r="D869" i="1"/>
  <c r="E869" i="1" s="1"/>
  <c r="B869" i="1"/>
  <c r="C869" i="1" s="1"/>
  <c r="G868" i="1"/>
  <c r="F868" i="1"/>
  <c r="D868" i="1"/>
  <c r="E868" i="1" s="1"/>
  <c r="B868" i="1"/>
  <c r="C868" i="1" s="1"/>
  <c r="G867" i="1"/>
  <c r="F867" i="1"/>
  <c r="D867" i="1"/>
  <c r="E867" i="1" s="1"/>
  <c r="B867" i="1"/>
  <c r="C867" i="1" s="1"/>
  <c r="G866" i="1"/>
  <c r="F866" i="1"/>
  <c r="D866" i="1"/>
  <c r="E866" i="1" s="1"/>
  <c r="B866" i="1"/>
  <c r="C866" i="1" s="1"/>
  <c r="G865" i="1"/>
  <c r="F865" i="1"/>
  <c r="D865" i="1"/>
  <c r="E865" i="1" s="1"/>
  <c r="B865" i="1"/>
  <c r="C865" i="1" s="1"/>
  <c r="G864" i="1"/>
  <c r="F864" i="1"/>
  <c r="D864" i="1"/>
  <c r="E864" i="1" s="1"/>
  <c r="B864" i="1"/>
  <c r="C864" i="1" s="1"/>
  <c r="G863" i="1"/>
  <c r="F863" i="1"/>
  <c r="D863" i="1"/>
  <c r="E863" i="1" s="1"/>
  <c r="B863" i="1"/>
  <c r="C863" i="1" s="1"/>
  <c r="G862" i="1"/>
  <c r="F862" i="1"/>
  <c r="D862" i="1"/>
  <c r="E862" i="1" s="1"/>
  <c r="B862" i="1"/>
  <c r="C862" i="1" s="1"/>
  <c r="G861" i="1"/>
  <c r="F861" i="1"/>
  <c r="D861" i="1"/>
  <c r="E861" i="1" s="1"/>
  <c r="B861" i="1"/>
  <c r="C861" i="1" s="1"/>
  <c r="G860" i="1"/>
  <c r="F860" i="1"/>
  <c r="D860" i="1"/>
  <c r="E860" i="1" s="1"/>
  <c r="B860" i="1"/>
  <c r="C860" i="1" s="1"/>
  <c r="G859" i="1"/>
  <c r="F859" i="1"/>
  <c r="D859" i="1"/>
  <c r="E859" i="1" s="1"/>
  <c r="B859" i="1"/>
  <c r="C859" i="1" s="1"/>
  <c r="G858" i="1"/>
  <c r="F858" i="1"/>
  <c r="D858" i="1"/>
  <c r="E858" i="1" s="1"/>
  <c r="B858" i="1"/>
  <c r="C858" i="1" s="1"/>
  <c r="G857" i="1"/>
  <c r="F857" i="1"/>
  <c r="D857" i="1"/>
  <c r="E857" i="1" s="1"/>
  <c r="B857" i="1"/>
  <c r="C857" i="1" s="1"/>
  <c r="G856" i="1"/>
  <c r="F856" i="1"/>
  <c r="D856" i="1"/>
  <c r="E856" i="1" s="1"/>
  <c r="B856" i="1"/>
  <c r="C856" i="1" s="1"/>
  <c r="G855" i="1"/>
  <c r="F855" i="1"/>
  <c r="D855" i="1"/>
  <c r="E855" i="1" s="1"/>
  <c r="B855" i="1"/>
  <c r="C855" i="1" s="1"/>
  <c r="G854" i="1"/>
  <c r="F854" i="1"/>
  <c r="D854" i="1"/>
  <c r="E854" i="1" s="1"/>
  <c r="B854" i="1"/>
  <c r="C854" i="1" s="1"/>
  <c r="G853" i="1"/>
  <c r="F853" i="1"/>
  <c r="D853" i="1"/>
  <c r="E853" i="1" s="1"/>
  <c r="B853" i="1"/>
  <c r="C853" i="1" s="1"/>
  <c r="G852" i="1"/>
  <c r="F852" i="1"/>
  <c r="D852" i="1"/>
  <c r="E852" i="1" s="1"/>
  <c r="B852" i="1"/>
  <c r="C852" i="1" s="1"/>
  <c r="G851" i="1"/>
  <c r="F851" i="1"/>
  <c r="D851" i="1"/>
  <c r="E851" i="1" s="1"/>
  <c r="B851" i="1"/>
  <c r="C851" i="1" s="1"/>
  <c r="G850" i="1"/>
  <c r="F850" i="1"/>
  <c r="D850" i="1"/>
  <c r="E850" i="1" s="1"/>
  <c r="B850" i="1"/>
  <c r="C850" i="1" s="1"/>
  <c r="G849" i="1"/>
  <c r="F849" i="1"/>
  <c r="D849" i="1"/>
  <c r="E849" i="1" s="1"/>
  <c r="B849" i="1"/>
  <c r="C849" i="1" s="1"/>
  <c r="G848" i="1"/>
  <c r="F848" i="1"/>
  <c r="D848" i="1"/>
  <c r="E848" i="1" s="1"/>
  <c r="B848" i="1"/>
  <c r="C848" i="1" s="1"/>
  <c r="G847" i="1"/>
  <c r="F847" i="1"/>
  <c r="D847" i="1"/>
  <c r="E847" i="1" s="1"/>
  <c r="B847" i="1"/>
  <c r="C847" i="1" s="1"/>
  <c r="G846" i="1"/>
  <c r="F846" i="1"/>
  <c r="D846" i="1"/>
  <c r="E846" i="1" s="1"/>
  <c r="B846" i="1"/>
  <c r="C846" i="1" s="1"/>
  <c r="G845" i="1"/>
  <c r="F845" i="1"/>
  <c r="D845" i="1"/>
  <c r="E845" i="1" s="1"/>
  <c r="B845" i="1"/>
  <c r="C845" i="1" s="1"/>
  <c r="G844" i="1"/>
  <c r="F844" i="1"/>
  <c r="D844" i="1"/>
  <c r="E844" i="1" s="1"/>
  <c r="B844" i="1"/>
  <c r="C844" i="1" s="1"/>
  <c r="G843" i="1"/>
  <c r="F843" i="1"/>
  <c r="D843" i="1"/>
  <c r="E843" i="1" s="1"/>
  <c r="B843" i="1"/>
  <c r="C843" i="1" s="1"/>
  <c r="G842" i="1"/>
  <c r="F842" i="1"/>
  <c r="D842" i="1"/>
  <c r="E842" i="1" s="1"/>
  <c r="B842" i="1"/>
  <c r="C842" i="1" s="1"/>
  <c r="G841" i="1"/>
  <c r="F841" i="1"/>
  <c r="D841" i="1"/>
  <c r="E841" i="1" s="1"/>
  <c r="B841" i="1"/>
  <c r="C841" i="1" s="1"/>
  <c r="G840" i="1"/>
  <c r="F840" i="1"/>
  <c r="D840" i="1"/>
  <c r="E840" i="1" s="1"/>
  <c r="B840" i="1"/>
  <c r="C840" i="1" s="1"/>
  <c r="G839" i="1"/>
  <c r="F839" i="1"/>
  <c r="D839" i="1"/>
  <c r="E839" i="1" s="1"/>
  <c r="B839" i="1"/>
  <c r="C839" i="1" s="1"/>
  <c r="G838" i="1"/>
  <c r="F838" i="1"/>
  <c r="D838" i="1"/>
  <c r="E838" i="1" s="1"/>
  <c r="B838" i="1"/>
  <c r="C838" i="1" s="1"/>
  <c r="G837" i="1"/>
  <c r="F837" i="1"/>
  <c r="D837" i="1"/>
  <c r="E837" i="1" s="1"/>
  <c r="B837" i="1"/>
  <c r="C837" i="1" s="1"/>
  <c r="G836" i="1"/>
  <c r="F836" i="1"/>
  <c r="D836" i="1"/>
  <c r="E836" i="1" s="1"/>
  <c r="B836" i="1"/>
  <c r="C836" i="1" s="1"/>
  <c r="G835" i="1"/>
  <c r="F835" i="1"/>
  <c r="D835" i="1"/>
  <c r="E835" i="1" s="1"/>
  <c r="B835" i="1"/>
  <c r="C835" i="1" s="1"/>
  <c r="G834" i="1"/>
  <c r="F834" i="1"/>
  <c r="D834" i="1"/>
  <c r="E834" i="1" s="1"/>
  <c r="B834" i="1"/>
  <c r="C834" i="1" s="1"/>
  <c r="G833" i="1"/>
  <c r="F833" i="1"/>
  <c r="D833" i="1"/>
  <c r="E833" i="1" s="1"/>
  <c r="B833" i="1"/>
  <c r="C833" i="1" s="1"/>
  <c r="G832" i="1"/>
  <c r="F832" i="1"/>
  <c r="D832" i="1"/>
  <c r="E832" i="1" s="1"/>
  <c r="B832" i="1"/>
  <c r="C832" i="1" s="1"/>
  <c r="G831" i="1"/>
  <c r="F831" i="1"/>
  <c r="D831" i="1"/>
  <c r="E831" i="1" s="1"/>
  <c r="B831" i="1"/>
  <c r="C831" i="1" s="1"/>
  <c r="G830" i="1"/>
  <c r="F830" i="1"/>
  <c r="D830" i="1"/>
  <c r="E830" i="1" s="1"/>
  <c r="B830" i="1"/>
  <c r="C830" i="1" s="1"/>
  <c r="G829" i="1"/>
  <c r="F829" i="1"/>
  <c r="D829" i="1"/>
  <c r="E829" i="1" s="1"/>
  <c r="B829" i="1"/>
  <c r="C829" i="1" s="1"/>
  <c r="G828" i="1"/>
  <c r="F828" i="1"/>
  <c r="D828" i="1"/>
  <c r="E828" i="1" s="1"/>
  <c r="B828" i="1"/>
  <c r="C828" i="1" s="1"/>
  <c r="G827" i="1"/>
  <c r="F827" i="1"/>
  <c r="D827" i="1"/>
  <c r="E827" i="1" s="1"/>
  <c r="B827" i="1"/>
  <c r="C827" i="1" s="1"/>
  <c r="G826" i="1"/>
  <c r="F826" i="1"/>
  <c r="D826" i="1"/>
  <c r="E826" i="1" s="1"/>
  <c r="B826" i="1"/>
  <c r="C826" i="1" s="1"/>
  <c r="G825" i="1"/>
  <c r="F825" i="1"/>
  <c r="D825" i="1"/>
  <c r="E825" i="1" s="1"/>
  <c r="B825" i="1"/>
  <c r="C825" i="1" s="1"/>
  <c r="G824" i="1"/>
  <c r="F824" i="1"/>
  <c r="D824" i="1"/>
  <c r="E824" i="1" s="1"/>
  <c r="B824" i="1"/>
  <c r="C824" i="1" s="1"/>
  <c r="G823" i="1"/>
  <c r="F823" i="1"/>
  <c r="D823" i="1"/>
  <c r="E823" i="1" s="1"/>
  <c r="B823" i="1"/>
  <c r="C823" i="1" s="1"/>
  <c r="G822" i="1"/>
  <c r="F822" i="1"/>
  <c r="D822" i="1"/>
  <c r="E822" i="1" s="1"/>
  <c r="B822" i="1"/>
  <c r="C822" i="1" s="1"/>
  <c r="G821" i="1"/>
  <c r="F821" i="1"/>
  <c r="D821" i="1"/>
  <c r="E821" i="1" s="1"/>
  <c r="B821" i="1"/>
  <c r="C821" i="1" s="1"/>
  <c r="G820" i="1"/>
  <c r="F820" i="1"/>
  <c r="D820" i="1"/>
  <c r="E820" i="1" s="1"/>
  <c r="B820" i="1"/>
  <c r="C820" i="1" s="1"/>
  <c r="G819" i="1"/>
  <c r="F819" i="1"/>
  <c r="D819" i="1"/>
  <c r="E819" i="1" s="1"/>
  <c r="B819" i="1"/>
  <c r="C819" i="1" s="1"/>
  <c r="G818" i="1"/>
  <c r="F818" i="1"/>
  <c r="D818" i="1"/>
  <c r="E818" i="1" s="1"/>
  <c r="B818" i="1"/>
  <c r="C818" i="1" s="1"/>
  <c r="G817" i="1"/>
  <c r="F817" i="1"/>
  <c r="D817" i="1"/>
  <c r="E817" i="1" s="1"/>
  <c r="B817" i="1"/>
  <c r="C817" i="1" s="1"/>
  <c r="G816" i="1"/>
  <c r="F816" i="1"/>
  <c r="D816" i="1"/>
  <c r="E816" i="1" s="1"/>
  <c r="B816" i="1"/>
  <c r="C816" i="1" s="1"/>
  <c r="G815" i="1"/>
  <c r="F815" i="1"/>
  <c r="D815" i="1"/>
  <c r="E815" i="1" s="1"/>
  <c r="B815" i="1"/>
  <c r="C815" i="1" s="1"/>
  <c r="G814" i="1"/>
  <c r="F814" i="1"/>
  <c r="D814" i="1"/>
  <c r="E814" i="1" s="1"/>
  <c r="B814" i="1"/>
  <c r="C814" i="1" s="1"/>
  <c r="G813" i="1"/>
  <c r="F813" i="1"/>
  <c r="D813" i="1"/>
  <c r="E813" i="1" s="1"/>
  <c r="B813" i="1"/>
  <c r="C813" i="1" s="1"/>
  <c r="G812" i="1"/>
  <c r="F812" i="1"/>
  <c r="D812" i="1"/>
  <c r="E812" i="1" s="1"/>
  <c r="B812" i="1"/>
  <c r="C812" i="1" s="1"/>
  <c r="G811" i="1"/>
  <c r="F811" i="1"/>
  <c r="D811" i="1"/>
  <c r="E811" i="1" s="1"/>
  <c r="B811" i="1"/>
  <c r="C811" i="1" s="1"/>
  <c r="G810" i="1"/>
  <c r="F810" i="1"/>
  <c r="D810" i="1"/>
  <c r="E810" i="1" s="1"/>
  <c r="B810" i="1"/>
  <c r="C810" i="1" s="1"/>
  <c r="G809" i="1"/>
  <c r="F809" i="1"/>
  <c r="D809" i="1"/>
  <c r="E809" i="1" s="1"/>
  <c r="B809" i="1"/>
  <c r="C809" i="1" s="1"/>
  <c r="G808" i="1"/>
  <c r="F808" i="1"/>
  <c r="D808" i="1"/>
  <c r="E808" i="1" s="1"/>
  <c r="B808" i="1"/>
  <c r="C808" i="1" s="1"/>
  <c r="G807" i="1"/>
  <c r="F807" i="1"/>
  <c r="D807" i="1"/>
  <c r="E807" i="1" s="1"/>
  <c r="B807" i="1"/>
  <c r="C807" i="1" s="1"/>
  <c r="G806" i="1"/>
  <c r="F806" i="1"/>
  <c r="D806" i="1"/>
  <c r="E806" i="1" s="1"/>
  <c r="B806" i="1"/>
  <c r="C806" i="1" s="1"/>
  <c r="G805" i="1"/>
  <c r="F805" i="1"/>
  <c r="D805" i="1"/>
  <c r="E805" i="1" s="1"/>
  <c r="B805" i="1"/>
  <c r="C805" i="1" s="1"/>
  <c r="G804" i="1"/>
  <c r="F804" i="1"/>
  <c r="D804" i="1"/>
  <c r="E804" i="1" s="1"/>
  <c r="B804" i="1"/>
  <c r="C804" i="1" s="1"/>
  <c r="G803" i="1"/>
  <c r="F803" i="1"/>
  <c r="D803" i="1"/>
  <c r="E803" i="1" s="1"/>
  <c r="B803" i="1"/>
  <c r="C803" i="1" s="1"/>
  <c r="G802" i="1"/>
  <c r="F802" i="1"/>
  <c r="D802" i="1"/>
  <c r="E802" i="1" s="1"/>
  <c r="B802" i="1"/>
  <c r="C802" i="1" s="1"/>
  <c r="G801" i="1"/>
  <c r="F801" i="1"/>
  <c r="D801" i="1"/>
  <c r="E801" i="1" s="1"/>
  <c r="B801" i="1"/>
  <c r="C801" i="1" s="1"/>
  <c r="G800" i="1"/>
  <c r="F800" i="1"/>
  <c r="D800" i="1"/>
  <c r="E800" i="1" s="1"/>
  <c r="B800" i="1"/>
  <c r="C800" i="1" s="1"/>
  <c r="G799" i="1"/>
  <c r="F799" i="1"/>
  <c r="D799" i="1"/>
  <c r="E799" i="1" s="1"/>
  <c r="B799" i="1"/>
  <c r="C799" i="1" s="1"/>
  <c r="G798" i="1"/>
  <c r="F798" i="1"/>
  <c r="D798" i="1"/>
  <c r="E798" i="1" s="1"/>
  <c r="B798" i="1"/>
  <c r="C798" i="1" s="1"/>
  <c r="G797" i="1"/>
  <c r="F797" i="1"/>
  <c r="D797" i="1"/>
  <c r="E797" i="1" s="1"/>
  <c r="B797" i="1"/>
  <c r="C797" i="1" s="1"/>
  <c r="G796" i="1"/>
  <c r="F796" i="1"/>
  <c r="D796" i="1"/>
  <c r="E796" i="1" s="1"/>
  <c r="B796" i="1"/>
  <c r="C796" i="1" s="1"/>
  <c r="G795" i="1"/>
  <c r="F795" i="1"/>
  <c r="D795" i="1"/>
  <c r="E795" i="1" s="1"/>
  <c r="B795" i="1"/>
  <c r="C795" i="1" s="1"/>
  <c r="G794" i="1"/>
  <c r="F794" i="1"/>
  <c r="D794" i="1"/>
  <c r="E794" i="1" s="1"/>
  <c r="B794" i="1"/>
  <c r="C794" i="1" s="1"/>
  <c r="G793" i="1"/>
  <c r="F793" i="1"/>
  <c r="D793" i="1"/>
  <c r="E793" i="1" s="1"/>
  <c r="B793" i="1"/>
  <c r="C793" i="1" s="1"/>
  <c r="G792" i="1"/>
  <c r="F792" i="1"/>
  <c r="D792" i="1"/>
  <c r="E792" i="1" s="1"/>
  <c r="B792" i="1"/>
  <c r="C792" i="1" s="1"/>
  <c r="G791" i="1"/>
  <c r="F791" i="1"/>
  <c r="D791" i="1"/>
  <c r="E791" i="1" s="1"/>
  <c r="B791" i="1"/>
  <c r="C791" i="1" s="1"/>
  <c r="G790" i="1"/>
  <c r="F790" i="1"/>
  <c r="D790" i="1"/>
  <c r="E790" i="1" s="1"/>
  <c r="B790" i="1"/>
  <c r="C790" i="1" s="1"/>
  <c r="G789" i="1"/>
  <c r="F789" i="1"/>
  <c r="D789" i="1"/>
  <c r="E789" i="1" s="1"/>
  <c r="B789" i="1"/>
  <c r="C789" i="1" s="1"/>
  <c r="G788" i="1"/>
  <c r="F788" i="1"/>
  <c r="D788" i="1"/>
  <c r="E788" i="1" s="1"/>
  <c r="B788" i="1"/>
  <c r="C788" i="1" s="1"/>
  <c r="G787" i="1"/>
  <c r="F787" i="1"/>
  <c r="D787" i="1"/>
  <c r="E787" i="1" s="1"/>
  <c r="B787" i="1"/>
  <c r="C787" i="1" s="1"/>
  <c r="G786" i="1"/>
  <c r="F786" i="1"/>
  <c r="D786" i="1"/>
  <c r="E786" i="1" s="1"/>
  <c r="B786" i="1"/>
  <c r="C786" i="1" s="1"/>
  <c r="G785" i="1"/>
  <c r="F785" i="1"/>
  <c r="D785" i="1"/>
  <c r="E785" i="1" s="1"/>
  <c r="B785" i="1"/>
  <c r="C785" i="1" s="1"/>
  <c r="G784" i="1"/>
  <c r="F784" i="1"/>
  <c r="D784" i="1"/>
  <c r="E784" i="1" s="1"/>
  <c r="B784" i="1"/>
  <c r="C784" i="1" s="1"/>
  <c r="G783" i="1"/>
  <c r="F783" i="1"/>
  <c r="D783" i="1"/>
  <c r="E783" i="1" s="1"/>
  <c r="B783" i="1"/>
  <c r="C783" i="1" s="1"/>
  <c r="G782" i="1"/>
  <c r="F782" i="1"/>
  <c r="D782" i="1"/>
  <c r="E782" i="1" s="1"/>
  <c r="B782" i="1"/>
  <c r="C782" i="1" s="1"/>
  <c r="G781" i="1"/>
  <c r="F781" i="1"/>
  <c r="D781" i="1"/>
  <c r="E781" i="1" s="1"/>
  <c r="B781" i="1"/>
  <c r="C781" i="1" s="1"/>
  <c r="G780" i="1"/>
  <c r="F780" i="1"/>
  <c r="D780" i="1"/>
  <c r="E780" i="1" s="1"/>
  <c r="B780" i="1"/>
  <c r="C780" i="1" s="1"/>
  <c r="G779" i="1"/>
  <c r="F779" i="1"/>
  <c r="D779" i="1"/>
  <c r="E779" i="1" s="1"/>
  <c r="B779" i="1"/>
  <c r="C779" i="1" s="1"/>
  <c r="G778" i="1"/>
  <c r="F778" i="1"/>
  <c r="D778" i="1"/>
  <c r="E778" i="1" s="1"/>
  <c r="B778" i="1"/>
  <c r="C778" i="1" s="1"/>
  <c r="G777" i="1"/>
  <c r="F777" i="1"/>
  <c r="D777" i="1"/>
  <c r="E777" i="1" s="1"/>
  <c r="B777" i="1"/>
  <c r="C777" i="1" s="1"/>
  <c r="G776" i="1"/>
  <c r="F776" i="1"/>
  <c r="D776" i="1"/>
  <c r="E776" i="1" s="1"/>
  <c r="B776" i="1"/>
  <c r="C776" i="1" s="1"/>
  <c r="G775" i="1"/>
  <c r="F775" i="1"/>
  <c r="D775" i="1"/>
  <c r="E775" i="1" s="1"/>
  <c r="B775" i="1"/>
  <c r="C775" i="1" s="1"/>
  <c r="G774" i="1"/>
  <c r="F774" i="1"/>
  <c r="D774" i="1"/>
  <c r="E774" i="1" s="1"/>
  <c r="B774" i="1"/>
  <c r="C774" i="1" s="1"/>
  <c r="G773" i="1"/>
  <c r="F773" i="1"/>
  <c r="D773" i="1"/>
  <c r="E773" i="1" s="1"/>
  <c r="B773" i="1"/>
  <c r="C773" i="1" s="1"/>
  <c r="G772" i="1"/>
  <c r="F772" i="1"/>
  <c r="D772" i="1"/>
  <c r="E772" i="1" s="1"/>
  <c r="B772" i="1"/>
  <c r="C772" i="1" s="1"/>
  <c r="G771" i="1"/>
  <c r="F771" i="1"/>
  <c r="D771" i="1"/>
  <c r="E771" i="1" s="1"/>
  <c r="B771" i="1"/>
  <c r="C771" i="1" s="1"/>
  <c r="G770" i="1"/>
  <c r="F770" i="1"/>
  <c r="D770" i="1"/>
  <c r="E770" i="1" s="1"/>
  <c r="B770" i="1"/>
  <c r="C770" i="1" s="1"/>
  <c r="G769" i="1"/>
  <c r="F769" i="1"/>
  <c r="D769" i="1"/>
  <c r="E769" i="1" s="1"/>
  <c r="B769" i="1"/>
  <c r="C769" i="1" s="1"/>
  <c r="G768" i="1"/>
  <c r="F768" i="1"/>
  <c r="D768" i="1"/>
  <c r="E768" i="1" s="1"/>
  <c r="B768" i="1"/>
  <c r="C768" i="1" s="1"/>
  <c r="G767" i="1"/>
  <c r="F767" i="1"/>
  <c r="D767" i="1"/>
  <c r="E767" i="1" s="1"/>
  <c r="B767" i="1"/>
  <c r="C767" i="1" s="1"/>
  <c r="G766" i="1"/>
  <c r="F766" i="1"/>
  <c r="D766" i="1"/>
  <c r="E766" i="1" s="1"/>
  <c r="B766" i="1"/>
  <c r="C766" i="1" s="1"/>
  <c r="G765" i="1"/>
  <c r="F765" i="1"/>
  <c r="D765" i="1"/>
  <c r="E765" i="1" s="1"/>
  <c r="B765" i="1"/>
  <c r="C765" i="1" s="1"/>
  <c r="G764" i="1"/>
  <c r="F764" i="1"/>
  <c r="D764" i="1"/>
  <c r="E764" i="1" s="1"/>
  <c r="B764" i="1"/>
  <c r="C764" i="1" s="1"/>
  <c r="G763" i="1"/>
  <c r="F763" i="1"/>
  <c r="D763" i="1"/>
  <c r="E763" i="1" s="1"/>
  <c r="B763" i="1"/>
  <c r="C763" i="1" s="1"/>
  <c r="G762" i="1"/>
  <c r="F762" i="1"/>
  <c r="D762" i="1"/>
  <c r="E762" i="1" s="1"/>
  <c r="B762" i="1"/>
  <c r="C762" i="1" s="1"/>
  <c r="G761" i="1"/>
  <c r="F761" i="1"/>
  <c r="D761" i="1"/>
  <c r="E761" i="1" s="1"/>
  <c r="B761" i="1"/>
  <c r="C761" i="1" s="1"/>
  <c r="G760" i="1"/>
  <c r="F760" i="1"/>
  <c r="D760" i="1"/>
  <c r="E760" i="1" s="1"/>
  <c r="B760" i="1"/>
  <c r="C760" i="1" s="1"/>
  <c r="G759" i="1"/>
  <c r="F759" i="1"/>
  <c r="D759" i="1"/>
  <c r="E759" i="1" s="1"/>
  <c r="B759" i="1"/>
  <c r="C759" i="1" s="1"/>
  <c r="G758" i="1"/>
  <c r="F758" i="1"/>
  <c r="D758" i="1"/>
  <c r="E758" i="1" s="1"/>
  <c r="B758" i="1"/>
  <c r="C758" i="1" s="1"/>
  <c r="G757" i="1"/>
  <c r="F757" i="1"/>
  <c r="D757" i="1"/>
  <c r="E757" i="1" s="1"/>
  <c r="B757" i="1"/>
  <c r="C757" i="1" s="1"/>
  <c r="G756" i="1"/>
  <c r="F756" i="1"/>
  <c r="D756" i="1"/>
  <c r="E756" i="1" s="1"/>
  <c r="B756" i="1"/>
  <c r="C756" i="1" s="1"/>
  <c r="G755" i="1"/>
  <c r="F755" i="1"/>
  <c r="D755" i="1"/>
  <c r="E755" i="1" s="1"/>
  <c r="B755" i="1"/>
  <c r="C755" i="1" s="1"/>
  <c r="G754" i="1"/>
  <c r="F754" i="1"/>
  <c r="D754" i="1"/>
  <c r="E754" i="1" s="1"/>
  <c r="B754" i="1"/>
  <c r="C754" i="1" s="1"/>
  <c r="G753" i="1"/>
  <c r="F753" i="1"/>
  <c r="D753" i="1"/>
  <c r="E753" i="1" s="1"/>
  <c r="B753" i="1"/>
  <c r="C753" i="1" s="1"/>
  <c r="G752" i="1"/>
  <c r="F752" i="1"/>
  <c r="D752" i="1"/>
  <c r="E752" i="1" s="1"/>
  <c r="B752" i="1"/>
  <c r="C752" i="1" s="1"/>
  <c r="G751" i="1"/>
  <c r="F751" i="1"/>
  <c r="D751" i="1"/>
  <c r="E751" i="1" s="1"/>
  <c r="B751" i="1"/>
  <c r="C751" i="1" s="1"/>
  <c r="G750" i="1"/>
  <c r="F750" i="1"/>
  <c r="D750" i="1"/>
  <c r="E750" i="1" s="1"/>
  <c r="B750" i="1"/>
  <c r="C750" i="1" s="1"/>
  <c r="G749" i="1"/>
  <c r="F749" i="1"/>
  <c r="D749" i="1"/>
  <c r="E749" i="1" s="1"/>
  <c r="B749" i="1"/>
  <c r="C749" i="1" s="1"/>
  <c r="G748" i="1"/>
  <c r="F748" i="1"/>
  <c r="D748" i="1"/>
  <c r="E748" i="1" s="1"/>
  <c r="B748" i="1"/>
  <c r="C748" i="1" s="1"/>
  <c r="G747" i="1"/>
  <c r="F747" i="1"/>
  <c r="D747" i="1"/>
  <c r="E747" i="1" s="1"/>
  <c r="B747" i="1"/>
  <c r="C747" i="1" s="1"/>
  <c r="G746" i="1"/>
  <c r="F746" i="1"/>
  <c r="D746" i="1"/>
  <c r="E746" i="1" s="1"/>
  <c r="B746" i="1"/>
  <c r="C746" i="1" s="1"/>
  <c r="G745" i="1"/>
  <c r="F745" i="1"/>
  <c r="D745" i="1"/>
  <c r="E745" i="1" s="1"/>
  <c r="B745" i="1"/>
  <c r="C745" i="1" s="1"/>
  <c r="G744" i="1"/>
  <c r="F744" i="1"/>
  <c r="D744" i="1"/>
  <c r="E744" i="1" s="1"/>
  <c r="B744" i="1"/>
  <c r="C744" i="1" s="1"/>
  <c r="G743" i="1"/>
  <c r="F743" i="1"/>
  <c r="D743" i="1"/>
  <c r="E743" i="1" s="1"/>
  <c r="B743" i="1"/>
  <c r="C743" i="1" s="1"/>
  <c r="G742" i="1"/>
  <c r="F742" i="1"/>
  <c r="D742" i="1"/>
  <c r="E742" i="1" s="1"/>
  <c r="B742" i="1"/>
  <c r="C742" i="1" s="1"/>
  <c r="G741" i="1"/>
  <c r="F741" i="1"/>
  <c r="D741" i="1"/>
  <c r="E741" i="1" s="1"/>
  <c r="B741" i="1"/>
  <c r="C741" i="1" s="1"/>
  <c r="G740" i="1"/>
  <c r="F740" i="1"/>
  <c r="D740" i="1"/>
  <c r="E740" i="1" s="1"/>
  <c r="B740" i="1"/>
  <c r="C740" i="1" s="1"/>
  <c r="G739" i="1"/>
  <c r="F739" i="1"/>
  <c r="D739" i="1"/>
  <c r="E739" i="1" s="1"/>
  <c r="B739" i="1"/>
  <c r="C739" i="1" s="1"/>
  <c r="G738" i="1"/>
  <c r="F738" i="1"/>
  <c r="D738" i="1"/>
  <c r="E738" i="1" s="1"/>
  <c r="B738" i="1"/>
  <c r="C738" i="1" s="1"/>
  <c r="G737" i="1"/>
  <c r="F737" i="1"/>
  <c r="D737" i="1"/>
  <c r="E737" i="1" s="1"/>
  <c r="B737" i="1"/>
  <c r="C737" i="1" s="1"/>
  <c r="G736" i="1"/>
  <c r="F736" i="1"/>
  <c r="D736" i="1"/>
  <c r="E736" i="1" s="1"/>
  <c r="B736" i="1"/>
  <c r="C736" i="1" s="1"/>
  <c r="G735" i="1"/>
  <c r="F735" i="1"/>
  <c r="D735" i="1"/>
  <c r="E735" i="1" s="1"/>
  <c r="B735" i="1"/>
  <c r="C735" i="1" s="1"/>
  <c r="G734" i="1"/>
  <c r="F734" i="1"/>
  <c r="D734" i="1"/>
  <c r="E734" i="1" s="1"/>
  <c r="B734" i="1"/>
  <c r="C734" i="1" s="1"/>
  <c r="G733" i="1"/>
  <c r="F733" i="1"/>
  <c r="D733" i="1"/>
  <c r="E733" i="1" s="1"/>
  <c r="B733" i="1"/>
  <c r="C733" i="1" s="1"/>
  <c r="G732" i="1"/>
  <c r="F732" i="1"/>
  <c r="D732" i="1"/>
  <c r="E732" i="1" s="1"/>
  <c r="B732" i="1"/>
  <c r="C732" i="1" s="1"/>
  <c r="G731" i="1"/>
  <c r="F731" i="1"/>
  <c r="D731" i="1"/>
  <c r="E731" i="1" s="1"/>
  <c r="B731" i="1"/>
  <c r="C731" i="1" s="1"/>
  <c r="G730" i="1"/>
  <c r="F730" i="1"/>
  <c r="D730" i="1"/>
  <c r="E730" i="1" s="1"/>
  <c r="B730" i="1"/>
  <c r="C730" i="1" s="1"/>
  <c r="G729" i="1"/>
  <c r="F729" i="1"/>
  <c r="D729" i="1"/>
  <c r="E729" i="1" s="1"/>
  <c r="B729" i="1"/>
  <c r="C729" i="1" s="1"/>
  <c r="G728" i="1"/>
  <c r="F728" i="1"/>
  <c r="D728" i="1"/>
  <c r="E728" i="1" s="1"/>
  <c r="B728" i="1"/>
  <c r="C728" i="1" s="1"/>
  <c r="G727" i="1"/>
  <c r="F727" i="1"/>
  <c r="D727" i="1"/>
  <c r="E727" i="1" s="1"/>
  <c r="B727" i="1"/>
  <c r="C727" i="1" s="1"/>
  <c r="G726" i="1"/>
  <c r="F726" i="1"/>
  <c r="D726" i="1"/>
  <c r="E726" i="1" s="1"/>
  <c r="B726" i="1"/>
  <c r="C726" i="1" s="1"/>
  <c r="G725" i="1"/>
  <c r="F725" i="1"/>
  <c r="D725" i="1"/>
  <c r="E725" i="1" s="1"/>
  <c r="B725" i="1"/>
  <c r="C725" i="1" s="1"/>
  <c r="G724" i="1"/>
  <c r="F724" i="1"/>
  <c r="D724" i="1"/>
  <c r="E724" i="1" s="1"/>
  <c r="B724" i="1"/>
  <c r="C724" i="1" s="1"/>
  <c r="G723" i="1"/>
  <c r="F723" i="1"/>
  <c r="D723" i="1"/>
  <c r="E723" i="1" s="1"/>
  <c r="B723" i="1"/>
  <c r="C723" i="1" s="1"/>
  <c r="G722" i="1"/>
  <c r="F722" i="1"/>
  <c r="D722" i="1"/>
  <c r="E722" i="1" s="1"/>
  <c r="B722" i="1"/>
  <c r="C722" i="1" s="1"/>
  <c r="G721" i="1"/>
  <c r="F721" i="1"/>
  <c r="D721" i="1"/>
  <c r="E721" i="1" s="1"/>
  <c r="B721" i="1"/>
  <c r="C721" i="1" s="1"/>
  <c r="G720" i="1"/>
  <c r="F720" i="1"/>
  <c r="D720" i="1"/>
  <c r="E720" i="1" s="1"/>
  <c r="B720" i="1"/>
  <c r="C720" i="1" s="1"/>
  <c r="G719" i="1"/>
  <c r="F719" i="1"/>
  <c r="D719" i="1"/>
  <c r="E719" i="1" s="1"/>
  <c r="B719" i="1"/>
  <c r="C719" i="1" s="1"/>
  <c r="G718" i="1"/>
  <c r="F718" i="1"/>
  <c r="D718" i="1"/>
  <c r="E718" i="1" s="1"/>
  <c r="B718" i="1"/>
  <c r="C718" i="1" s="1"/>
  <c r="G717" i="1"/>
  <c r="F717" i="1"/>
  <c r="D717" i="1"/>
  <c r="E717" i="1" s="1"/>
  <c r="B717" i="1"/>
  <c r="C717" i="1" s="1"/>
  <c r="G716" i="1"/>
  <c r="F716" i="1"/>
  <c r="D716" i="1"/>
  <c r="E716" i="1" s="1"/>
  <c r="B716" i="1"/>
  <c r="C716" i="1" s="1"/>
  <c r="G715" i="1"/>
  <c r="F715" i="1"/>
  <c r="D715" i="1"/>
  <c r="E715" i="1" s="1"/>
  <c r="B715" i="1"/>
  <c r="C715" i="1" s="1"/>
  <c r="G714" i="1"/>
  <c r="F714" i="1"/>
  <c r="D714" i="1"/>
  <c r="E714" i="1" s="1"/>
  <c r="B714" i="1"/>
  <c r="C714" i="1" s="1"/>
  <c r="G713" i="1"/>
  <c r="F713" i="1"/>
  <c r="D713" i="1"/>
  <c r="E713" i="1" s="1"/>
  <c r="B713" i="1"/>
  <c r="C713" i="1" s="1"/>
  <c r="G712" i="1"/>
  <c r="F712" i="1"/>
  <c r="D712" i="1"/>
  <c r="E712" i="1" s="1"/>
  <c r="B712" i="1"/>
  <c r="C712" i="1" s="1"/>
  <c r="G711" i="1"/>
  <c r="F711" i="1"/>
  <c r="D711" i="1"/>
  <c r="E711" i="1" s="1"/>
  <c r="B711" i="1"/>
  <c r="C711" i="1" s="1"/>
  <c r="G710" i="1"/>
  <c r="F710" i="1"/>
  <c r="D710" i="1"/>
  <c r="E710" i="1" s="1"/>
  <c r="B710" i="1"/>
  <c r="C710" i="1" s="1"/>
  <c r="G709" i="1"/>
  <c r="F709" i="1"/>
  <c r="D709" i="1"/>
  <c r="E709" i="1" s="1"/>
  <c r="B709" i="1"/>
  <c r="C709" i="1" s="1"/>
  <c r="G708" i="1"/>
  <c r="F708" i="1"/>
  <c r="D708" i="1"/>
  <c r="E708" i="1" s="1"/>
  <c r="B708" i="1"/>
  <c r="C708" i="1" s="1"/>
  <c r="G707" i="1"/>
  <c r="F707" i="1"/>
  <c r="D707" i="1"/>
  <c r="E707" i="1" s="1"/>
  <c r="B707" i="1"/>
  <c r="C707" i="1" s="1"/>
  <c r="G706" i="1"/>
  <c r="F706" i="1"/>
  <c r="D706" i="1"/>
  <c r="E706" i="1" s="1"/>
  <c r="B706" i="1"/>
  <c r="C706" i="1" s="1"/>
  <c r="G705" i="1"/>
  <c r="F705" i="1"/>
  <c r="D705" i="1"/>
  <c r="E705" i="1" s="1"/>
  <c r="B705" i="1"/>
  <c r="C705" i="1" s="1"/>
  <c r="G704" i="1"/>
  <c r="F704" i="1"/>
  <c r="D704" i="1"/>
  <c r="E704" i="1" s="1"/>
  <c r="B704" i="1"/>
  <c r="C704" i="1" s="1"/>
  <c r="G703" i="1"/>
  <c r="F703" i="1"/>
  <c r="D703" i="1"/>
  <c r="E703" i="1" s="1"/>
  <c r="B703" i="1"/>
  <c r="C703" i="1" s="1"/>
  <c r="G702" i="1"/>
  <c r="F702" i="1"/>
  <c r="D702" i="1"/>
  <c r="E702" i="1" s="1"/>
  <c r="B702" i="1"/>
  <c r="C702" i="1" s="1"/>
  <c r="G701" i="1"/>
  <c r="F701" i="1"/>
  <c r="D701" i="1"/>
  <c r="E701" i="1" s="1"/>
  <c r="B701" i="1"/>
  <c r="C701" i="1" s="1"/>
  <c r="G700" i="1"/>
  <c r="F700" i="1"/>
  <c r="D700" i="1"/>
  <c r="E700" i="1" s="1"/>
  <c r="B700" i="1"/>
  <c r="C700" i="1" s="1"/>
  <c r="G699" i="1"/>
  <c r="F699" i="1"/>
  <c r="D699" i="1"/>
  <c r="E699" i="1" s="1"/>
  <c r="B699" i="1"/>
  <c r="C699" i="1" s="1"/>
  <c r="G698" i="1"/>
  <c r="F698" i="1"/>
  <c r="D698" i="1"/>
  <c r="E698" i="1" s="1"/>
  <c r="B698" i="1"/>
  <c r="C698" i="1" s="1"/>
  <c r="G697" i="1"/>
  <c r="F697" i="1"/>
  <c r="D697" i="1"/>
  <c r="E697" i="1" s="1"/>
  <c r="B697" i="1"/>
  <c r="C697" i="1" s="1"/>
  <c r="G696" i="1"/>
  <c r="F696" i="1"/>
  <c r="D696" i="1"/>
  <c r="E696" i="1" s="1"/>
  <c r="B696" i="1"/>
  <c r="C696" i="1" s="1"/>
  <c r="G695" i="1"/>
  <c r="F695" i="1"/>
  <c r="D695" i="1"/>
  <c r="E695" i="1" s="1"/>
  <c r="B695" i="1"/>
  <c r="C695" i="1" s="1"/>
  <c r="G694" i="1"/>
  <c r="F694" i="1"/>
  <c r="D694" i="1"/>
  <c r="E694" i="1" s="1"/>
  <c r="B694" i="1"/>
  <c r="C694" i="1" s="1"/>
  <c r="G693" i="1"/>
  <c r="F693" i="1"/>
  <c r="D693" i="1"/>
  <c r="E693" i="1" s="1"/>
  <c r="B693" i="1"/>
  <c r="C693" i="1" s="1"/>
  <c r="G692" i="1"/>
  <c r="F692" i="1"/>
  <c r="D692" i="1"/>
  <c r="E692" i="1" s="1"/>
  <c r="B692" i="1"/>
  <c r="C692" i="1" s="1"/>
  <c r="G691" i="1"/>
  <c r="F691" i="1"/>
  <c r="D691" i="1"/>
  <c r="E691" i="1" s="1"/>
  <c r="B691" i="1"/>
  <c r="C691" i="1" s="1"/>
  <c r="G690" i="1"/>
  <c r="F690" i="1"/>
  <c r="D690" i="1"/>
  <c r="E690" i="1" s="1"/>
  <c r="B690" i="1"/>
  <c r="C690" i="1" s="1"/>
  <c r="G689" i="1"/>
  <c r="F689" i="1"/>
  <c r="D689" i="1"/>
  <c r="E689" i="1" s="1"/>
  <c r="B689" i="1"/>
  <c r="C689" i="1" s="1"/>
  <c r="G688" i="1"/>
  <c r="F688" i="1"/>
  <c r="D688" i="1"/>
  <c r="E688" i="1" s="1"/>
  <c r="B688" i="1"/>
  <c r="C688" i="1" s="1"/>
  <c r="G687" i="1"/>
  <c r="F687" i="1"/>
  <c r="D687" i="1"/>
  <c r="E687" i="1" s="1"/>
  <c r="B687" i="1"/>
  <c r="C687" i="1" s="1"/>
  <c r="G686" i="1"/>
  <c r="F686" i="1"/>
  <c r="D686" i="1"/>
  <c r="E686" i="1" s="1"/>
  <c r="B686" i="1"/>
  <c r="C686" i="1" s="1"/>
  <c r="G685" i="1"/>
  <c r="F685" i="1"/>
  <c r="D685" i="1"/>
  <c r="E685" i="1" s="1"/>
  <c r="B685" i="1"/>
  <c r="C685" i="1" s="1"/>
  <c r="G684" i="1"/>
  <c r="F684" i="1"/>
  <c r="D684" i="1"/>
  <c r="E684" i="1" s="1"/>
  <c r="B684" i="1"/>
  <c r="C684" i="1" s="1"/>
  <c r="G683" i="1"/>
  <c r="F683" i="1"/>
  <c r="D683" i="1"/>
  <c r="E683" i="1" s="1"/>
  <c r="B683" i="1"/>
  <c r="C683" i="1" s="1"/>
  <c r="G682" i="1"/>
  <c r="F682" i="1"/>
  <c r="D682" i="1"/>
  <c r="E682" i="1" s="1"/>
  <c r="B682" i="1"/>
  <c r="C682" i="1" s="1"/>
  <c r="G681" i="1"/>
  <c r="F681" i="1"/>
  <c r="D681" i="1"/>
  <c r="E681" i="1" s="1"/>
  <c r="B681" i="1"/>
  <c r="C681" i="1" s="1"/>
  <c r="G680" i="1"/>
  <c r="F680" i="1"/>
  <c r="D680" i="1"/>
  <c r="E680" i="1" s="1"/>
  <c r="B680" i="1"/>
  <c r="C680" i="1" s="1"/>
  <c r="G679" i="1"/>
  <c r="F679" i="1"/>
  <c r="D679" i="1"/>
  <c r="E679" i="1" s="1"/>
  <c r="B679" i="1"/>
  <c r="C679" i="1" s="1"/>
  <c r="G678" i="1"/>
  <c r="F678" i="1"/>
  <c r="D678" i="1"/>
  <c r="E678" i="1" s="1"/>
  <c r="B678" i="1"/>
  <c r="C678" i="1" s="1"/>
  <c r="G677" i="1"/>
  <c r="F677" i="1"/>
  <c r="D677" i="1"/>
  <c r="E677" i="1" s="1"/>
  <c r="B677" i="1"/>
  <c r="C677" i="1" s="1"/>
  <c r="G676" i="1"/>
  <c r="F676" i="1"/>
  <c r="D676" i="1"/>
  <c r="E676" i="1" s="1"/>
  <c r="B676" i="1"/>
  <c r="C676" i="1" s="1"/>
  <c r="G675" i="1"/>
  <c r="F675" i="1"/>
  <c r="D675" i="1"/>
  <c r="E675" i="1" s="1"/>
  <c r="B675" i="1"/>
  <c r="C675" i="1" s="1"/>
  <c r="G674" i="1"/>
  <c r="F674" i="1"/>
  <c r="D674" i="1"/>
  <c r="E674" i="1" s="1"/>
  <c r="B674" i="1"/>
  <c r="C674" i="1" s="1"/>
  <c r="G673" i="1"/>
  <c r="F673" i="1"/>
  <c r="D673" i="1"/>
  <c r="E673" i="1" s="1"/>
  <c r="B673" i="1"/>
  <c r="C673" i="1" s="1"/>
  <c r="G672" i="1"/>
  <c r="F672" i="1"/>
  <c r="D672" i="1"/>
  <c r="E672" i="1" s="1"/>
  <c r="B672" i="1"/>
  <c r="C672" i="1" s="1"/>
  <c r="G671" i="1"/>
  <c r="F671" i="1"/>
  <c r="D671" i="1"/>
  <c r="E671" i="1" s="1"/>
  <c r="B671" i="1"/>
  <c r="C671" i="1" s="1"/>
  <c r="G670" i="1"/>
  <c r="F670" i="1"/>
  <c r="D670" i="1"/>
  <c r="E670" i="1" s="1"/>
  <c r="B670" i="1"/>
  <c r="C670" i="1" s="1"/>
  <c r="G669" i="1"/>
  <c r="F669" i="1"/>
  <c r="D669" i="1"/>
  <c r="E669" i="1" s="1"/>
  <c r="B669" i="1"/>
  <c r="C669" i="1" s="1"/>
  <c r="G668" i="1"/>
  <c r="F668" i="1"/>
  <c r="D668" i="1"/>
  <c r="E668" i="1" s="1"/>
  <c r="B668" i="1"/>
  <c r="C668" i="1" s="1"/>
  <c r="G667" i="1"/>
  <c r="F667" i="1"/>
  <c r="D667" i="1"/>
  <c r="E667" i="1" s="1"/>
  <c r="B667" i="1"/>
  <c r="C667" i="1" s="1"/>
  <c r="G666" i="1"/>
  <c r="F666" i="1"/>
  <c r="D666" i="1"/>
  <c r="E666" i="1" s="1"/>
  <c r="B666" i="1"/>
  <c r="C666" i="1" s="1"/>
  <c r="G665" i="1"/>
  <c r="F665" i="1"/>
  <c r="D665" i="1"/>
  <c r="E665" i="1" s="1"/>
  <c r="B665" i="1"/>
  <c r="C665" i="1" s="1"/>
  <c r="G664" i="1"/>
  <c r="F664" i="1"/>
  <c r="D664" i="1"/>
  <c r="E664" i="1" s="1"/>
  <c r="B664" i="1"/>
  <c r="C664" i="1" s="1"/>
  <c r="G663" i="1"/>
  <c r="F663" i="1"/>
  <c r="D663" i="1"/>
  <c r="E663" i="1" s="1"/>
  <c r="B663" i="1"/>
  <c r="C663" i="1" s="1"/>
  <c r="G662" i="1"/>
  <c r="F662" i="1"/>
  <c r="D662" i="1"/>
  <c r="E662" i="1" s="1"/>
  <c r="B662" i="1"/>
  <c r="C662" i="1" s="1"/>
  <c r="G661" i="1"/>
  <c r="F661" i="1"/>
  <c r="D661" i="1"/>
  <c r="E661" i="1" s="1"/>
  <c r="B661" i="1"/>
  <c r="C661" i="1" s="1"/>
  <c r="G660" i="1"/>
  <c r="F660" i="1"/>
  <c r="D660" i="1"/>
  <c r="E660" i="1" s="1"/>
  <c r="B660" i="1"/>
  <c r="C660" i="1" s="1"/>
  <c r="G659" i="1"/>
  <c r="F659" i="1"/>
  <c r="D659" i="1"/>
  <c r="E659" i="1" s="1"/>
  <c r="B659" i="1"/>
  <c r="C659" i="1" s="1"/>
  <c r="G658" i="1"/>
  <c r="F658" i="1"/>
  <c r="D658" i="1"/>
  <c r="E658" i="1" s="1"/>
  <c r="B658" i="1"/>
  <c r="C658" i="1" s="1"/>
  <c r="G657" i="1"/>
  <c r="F657" i="1"/>
  <c r="D657" i="1"/>
  <c r="E657" i="1" s="1"/>
  <c r="B657" i="1"/>
  <c r="C657" i="1" s="1"/>
  <c r="G656" i="1"/>
  <c r="F656" i="1"/>
  <c r="D656" i="1"/>
  <c r="E656" i="1" s="1"/>
  <c r="B656" i="1"/>
  <c r="C656" i="1" s="1"/>
  <c r="G655" i="1"/>
  <c r="F655" i="1"/>
  <c r="D655" i="1"/>
  <c r="E655" i="1" s="1"/>
  <c r="B655" i="1"/>
  <c r="C655" i="1" s="1"/>
  <c r="G654" i="1"/>
  <c r="F654" i="1"/>
  <c r="D654" i="1"/>
  <c r="E654" i="1" s="1"/>
  <c r="B654" i="1"/>
  <c r="C654" i="1" s="1"/>
  <c r="G653" i="1"/>
  <c r="F653" i="1"/>
  <c r="D653" i="1"/>
  <c r="E653" i="1" s="1"/>
  <c r="B653" i="1"/>
  <c r="C653" i="1" s="1"/>
  <c r="G652" i="1"/>
  <c r="F652" i="1"/>
  <c r="D652" i="1"/>
  <c r="E652" i="1" s="1"/>
  <c r="B652" i="1"/>
  <c r="C652" i="1" s="1"/>
  <c r="G651" i="1"/>
  <c r="F651" i="1"/>
  <c r="D651" i="1"/>
  <c r="E651" i="1" s="1"/>
  <c r="B651" i="1"/>
  <c r="C651" i="1" s="1"/>
  <c r="G650" i="1"/>
  <c r="F650" i="1"/>
  <c r="D650" i="1"/>
  <c r="E650" i="1" s="1"/>
  <c r="B650" i="1"/>
  <c r="C650" i="1" s="1"/>
  <c r="G649" i="1"/>
  <c r="F649" i="1"/>
  <c r="D649" i="1"/>
  <c r="E649" i="1" s="1"/>
  <c r="B649" i="1"/>
  <c r="C649" i="1" s="1"/>
  <c r="G648" i="1"/>
  <c r="F648" i="1"/>
  <c r="D648" i="1"/>
  <c r="E648" i="1" s="1"/>
  <c r="B648" i="1"/>
  <c r="C648" i="1" s="1"/>
  <c r="G647" i="1"/>
  <c r="F647" i="1"/>
  <c r="D647" i="1"/>
  <c r="E647" i="1" s="1"/>
  <c r="B647" i="1"/>
  <c r="C647" i="1" s="1"/>
  <c r="G646" i="1"/>
  <c r="F646" i="1"/>
  <c r="D646" i="1"/>
  <c r="E646" i="1" s="1"/>
  <c r="B646" i="1"/>
  <c r="C646" i="1" s="1"/>
  <c r="G645" i="1"/>
  <c r="F645" i="1"/>
  <c r="D645" i="1"/>
  <c r="E645" i="1" s="1"/>
  <c r="B645" i="1"/>
  <c r="C645" i="1" s="1"/>
  <c r="G644" i="1"/>
  <c r="F644" i="1"/>
  <c r="D644" i="1"/>
  <c r="E644" i="1" s="1"/>
  <c r="B644" i="1"/>
  <c r="C644" i="1" s="1"/>
  <c r="G643" i="1"/>
  <c r="F643" i="1"/>
  <c r="D643" i="1"/>
  <c r="E643" i="1" s="1"/>
  <c r="B643" i="1"/>
  <c r="C643" i="1" s="1"/>
  <c r="G642" i="1"/>
  <c r="F642" i="1"/>
  <c r="D642" i="1"/>
  <c r="E642" i="1" s="1"/>
  <c r="B642" i="1"/>
  <c r="C642" i="1" s="1"/>
  <c r="G641" i="1"/>
  <c r="F641" i="1"/>
  <c r="D641" i="1"/>
  <c r="E641" i="1" s="1"/>
  <c r="B641" i="1"/>
  <c r="C641" i="1" s="1"/>
  <c r="G640" i="1"/>
  <c r="F640" i="1"/>
  <c r="D640" i="1"/>
  <c r="E640" i="1" s="1"/>
  <c r="B640" i="1"/>
  <c r="C640" i="1" s="1"/>
  <c r="G639" i="1"/>
  <c r="F639" i="1"/>
  <c r="D639" i="1"/>
  <c r="E639" i="1" s="1"/>
  <c r="B639" i="1"/>
  <c r="C639" i="1" s="1"/>
  <c r="G638" i="1"/>
  <c r="F638" i="1"/>
  <c r="D638" i="1"/>
  <c r="E638" i="1" s="1"/>
  <c r="B638" i="1"/>
  <c r="C638" i="1" s="1"/>
  <c r="G637" i="1"/>
  <c r="F637" i="1"/>
  <c r="D637" i="1"/>
  <c r="E637" i="1" s="1"/>
  <c r="B637" i="1"/>
  <c r="C637" i="1" s="1"/>
  <c r="G636" i="1"/>
  <c r="F636" i="1"/>
  <c r="D636" i="1"/>
  <c r="E636" i="1" s="1"/>
  <c r="B636" i="1"/>
  <c r="C636" i="1" s="1"/>
  <c r="G635" i="1"/>
  <c r="F635" i="1"/>
  <c r="D635" i="1"/>
  <c r="E635" i="1" s="1"/>
  <c r="B635" i="1"/>
  <c r="C635" i="1" s="1"/>
  <c r="G634" i="1"/>
  <c r="F634" i="1"/>
  <c r="D634" i="1"/>
  <c r="E634" i="1" s="1"/>
  <c r="B634" i="1"/>
  <c r="C634" i="1" s="1"/>
  <c r="G633" i="1"/>
  <c r="F633" i="1"/>
  <c r="D633" i="1"/>
  <c r="E633" i="1" s="1"/>
  <c r="B633" i="1"/>
  <c r="C633" i="1" s="1"/>
  <c r="G632" i="1"/>
  <c r="F632" i="1"/>
  <c r="D632" i="1"/>
  <c r="E632" i="1" s="1"/>
  <c r="B632" i="1"/>
  <c r="C632" i="1" s="1"/>
  <c r="G631" i="1"/>
  <c r="F631" i="1"/>
  <c r="D631" i="1"/>
  <c r="E631" i="1" s="1"/>
  <c r="B631" i="1"/>
  <c r="C631" i="1" s="1"/>
  <c r="G630" i="1"/>
  <c r="F630" i="1"/>
  <c r="D630" i="1"/>
  <c r="E630" i="1" s="1"/>
  <c r="B630" i="1"/>
  <c r="C630" i="1" s="1"/>
  <c r="G629" i="1"/>
  <c r="F629" i="1"/>
  <c r="D629" i="1"/>
  <c r="E629" i="1" s="1"/>
  <c r="B629" i="1"/>
  <c r="C629" i="1" s="1"/>
  <c r="G628" i="1"/>
  <c r="F628" i="1"/>
  <c r="D628" i="1"/>
  <c r="E628" i="1" s="1"/>
  <c r="B628" i="1"/>
  <c r="C628" i="1" s="1"/>
  <c r="G627" i="1"/>
  <c r="F627" i="1"/>
  <c r="D627" i="1"/>
  <c r="E627" i="1" s="1"/>
  <c r="B627" i="1"/>
  <c r="C627" i="1" s="1"/>
  <c r="G626" i="1"/>
  <c r="F626" i="1"/>
  <c r="D626" i="1"/>
  <c r="E626" i="1" s="1"/>
  <c r="B626" i="1"/>
  <c r="C626" i="1" s="1"/>
  <c r="G625" i="1"/>
  <c r="F625" i="1"/>
  <c r="D625" i="1"/>
  <c r="E625" i="1" s="1"/>
  <c r="B625" i="1"/>
  <c r="C625" i="1" s="1"/>
  <c r="G624" i="1"/>
  <c r="F624" i="1"/>
  <c r="D624" i="1"/>
  <c r="E624" i="1" s="1"/>
  <c r="B624" i="1"/>
  <c r="C624" i="1" s="1"/>
  <c r="G623" i="1"/>
  <c r="F623" i="1"/>
  <c r="D623" i="1"/>
  <c r="E623" i="1" s="1"/>
  <c r="B623" i="1"/>
  <c r="C623" i="1" s="1"/>
  <c r="G622" i="1"/>
  <c r="F622" i="1"/>
  <c r="D622" i="1"/>
  <c r="E622" i="1" s="1"/>
  <c r="B622" i="1"/>
  <c r="C622" i="1" s="1"/>
  <c r="G621" i="1"/>
  <c r="F621" i="1"/>
  <c r="D621" i="1"/>
  <c r="E621" i="1" s="1"/>
  <c r="B621" i="1"/>
  <c r="C621" i="1" s="1"/>
  <c r="G620" i="1"/>
  <c r="F620" i="1"/>
  <c r="D620" i="1"/>
  <c r="E620" i="1" s="1"/>
  <c r="B620" i="1"/>
  <c r="C620" i="1" s="1"/>
  <c r="G619" i="1"/>
  <c r="F619" i="1"/>
  <c r="D619" i="1"/>
  <c r="E619" i="1" s="1"/>
  <c r="B619" i="1"/>
  <c r="C619" i="1" s="1"/>
  <c r="G618" i="1"/>
  <c r="F618" i="1"/>
  <c r="D618" i="1"/>
  <c r="E618" i="1" s="1"/>
  <c r="B618" i="1"/>
  <c r="C618" i="1" s="1"/>
  <c r="G617" i="1"/>
  <c r="F617" i="1"/>
  <c r="D617" i="1"/>
  <c r="E617" i="1" s="1"/>
  <c r="B617" i="1"/>
  <c r="C617" i="1" s="1"/>
  <c r="G616" i="1"/>
  <c r="F616" i="1"/>
  <c r="D616" i="1"/>
  <c r="E616" i="1" s="1"/>
  <c r="B616" i="1"/>
  <c r="C616" i="1" s="1"/>
  <c r="G615" i="1"/>
  <c r="F615" i="1"/>
  <c r="D615" i="1"/>
  <c r="E615" i="1" s="1"/>
  <c r="B615" i="1"/>
  <c r="C615" i="1" s="1"/>
  <c r="G614" i="1"/>
  <c r="F614" i="1"/>
  <c r="D614" i="1"/>
  <c r="E614" i="1" s="1"/>
  <c r="B614" i="1"/>
  <c r="C614" i="1" s="1"/>
  <c r="G613" i="1"/>
  <c r="F613" i="1"/>
  <c r="D613" i="1"/>
  <c r="E613" i="1" s="1"/>
  <c r="B613" i="1"/>
  <c r="C613" i="1" s="1"/>
  <c r="G612" i="1"/>
  <c r="F612" i="1"/>
  <c r="D612" i="1"/>
  <c r="E612" i="1" s="1"/>
  <c r="B612" i="1"/>
  <c r="C612" i="1" s="1"/>
  <c r="G611" i="1"/>
  <c r="F611" i="1"/>
  <c r="D611" i="1"/>
  <c r="E611" i="1" s="1"/>
  <c r="B611" i="1"/>
  <c r="C611" i="1" s="1"/>
  <c r="G610" i="1"/>
  <c r="F610" i="1"/>
  <c r="D610" i="1"/>
  <c r="E610" i="1" s="1"/>
  <c r="B610" i="1"/>
  <c r="C610" i="1" s="1"/>
  <c r="G609" i="1"/>
  <c r="F609" i="1"/>
  <c r="D609" i="1"/>
  <c r="E609" i="1" s="1"/>
  <c r="B609" i="1"/>
  <c r="C609" i="1" s="1"/>
  <c r="G608" i="1"/>
  <c r="F608" i="1"/>
  <c r="D608" i="1"/>
  <c r="E608" i="1" s="1"/>
  <c r="B608" i="1"/>
  <c r="C608" i="1" s="1"/>
  <c r="G607" i="1"/>
  <c r="F607" i="1"/>
  <c r="D607" i="1"/>
  <c r="E607" i="1" s="1"/>
  <c r="B607" i="1"/>
  <c r="C607" i="1" s="1"/>
  <c r="G606" i="1"/>
  <c r="F606" i="1"/>
  <c r="D606" i="1"/>
  <c r="E606" i="1" s="1"/>
  <c r="B606" i="1"/>
  <c r="C606" i="1" s="1"/>
  <c r="G605" i="1"/>
  <c r="F605" i="1"/>
  <c r="D605" i="1"/>
  <c r="E605" i="1" s="1"/>
  <c r="B605" i="1"/>
  <c r="C605" i="1" s="1"/>
  <c r="G604" i="1"/>
  <c r="F604" i="1"/>
  <c r="D604" i="1"/>
  <c r="E604" i="1" s="1"/>
  <c r="B604" i="1"/>
  <c r="C604" i="1" s="1"/>
  <c r="G603" i="1"/>
  <c r="F603" i="1"/>
  <c r="D603" i="1"/>
  <c r="E603" i="1" s="1"/>
  <c r="B603" i="1"/>
  <c r="C603" i="1" s="1"/>
  <c r="G602" i="1"/>
  <c r="F602" i="1"/>
  <c r="D602" i="1"/>
  <c r="E602" i="1" s="1"/>
  <c r="B602" i="1"/>
  <c r="C602" i="1" s="1"/>
  <c r="G601" i="1"/>
  <c r="F601" i="1"/>
  <c r="D601" i="1"/>
  <c r="E601" i="1" s="1"/>
  <c r="B601" i="1"/>
  <c r="C601" i="1" s="1"/>
  <c r="G600" i="1"/>
  <c r="F600" i="1"/>
  <c r="D600" i="1"/>
  <c r="E600" i="1" s="1"/>
  <c r="B600" i="1"/>
  <c r="C600" i="1" s="1"/>
  <c r="G599" i="1"/>
  <c r="F599" i="1"/>
  <c r="D599" i="1"/>
  <c r="E599" i="1" s="1"/>
  <c r="B599" i="1"/>
  <c r="C599" i="1" s="1"/>
  <c r="G598" i="1"/>
  <c r="F598" i="1"/>
  <c r="D598" i="1"/>
  <c r="E598" i="1" s="1"/>
  <c r="B598" i="1"/>
  <c r="C598" i="1" s="1"/>
  <c r="G597" i="1"/>
  <c r="F597" i="1"/>
  <c r="D597" i="1"/>
  <c r="E597" i="1" s="1"/>
  <c r="B597" i="1"/>
  <c r="C597" i="1" s="1"/>
  <c r="G596" i="1"/>
  <c r="F596" i="1"/>
  <c r="D596" i="1"/>
  <c r="E596" i="1" s="1"/>
  <c r="B596" i="1"/>
  <c r="C596" i="1" s="1"/>
  <c r="G595" i="1"/>
  <c r="F595" i="1"/>
  <c r="D595" i="1"/>
  <c r="E595" i="1" s="1"/>
  <c r="B595" i="1"/>
  <c r="C595" i="1" s="1"/>
  <c r="G594" i="1"/>
  <c r="F594" i="1"/>
  <c r="D594" i="1"/>
  <c r="E594" i="1" s="1"/>
  <c r="B594" i="1"/>
  <c r="C594" i="1" s="1"/>
  <c r="G593" i="1"/>
  <c r="F593" i="1"/>
  <c r="D593" i="1"/>
  <c r="E593" i="1" s="1"/>
  <c r="B593" i="1"/>
  <c r="C593" i="1" s="1"/>
  <c r="G592" i="1"/>
  <c r="F592" i="1"/>
  <c r="D592" i="1"/>
  <c r="E592" i="1" s="1"/>
  <c r="B592" i="1"/>
  <c r="C592" i="1" s="1"/>
  <c r="G591" i="1"/>
  <c r="F591" i="1"/>
  <c r="D591" i="1"/>
  <c r="E591" i="1" s="1"/>
  <c r="B591" i="1"/>
  <c r="C591" i="1" s="1"/>
  <c r="G590" i="1"/>
  <c r="F590" i="1"/>
  <c r="D590" i="1"/>
  <c r="E590" i="1" s="1"/>
  <c r="B590" i="1"/>
  <c r="C590" i="1" s="1"/>
  <c r="G589" i="1"/>
  <c r="F589" i="1"/>
  <c r="D589" i="1"/>
  <c r="E589" i="1" s="1"/>
  <c r="B589" i="1"/>
  <c r="C589" i="1" s="1"/>
  <c r="G588" i="1"/>
  <c r="F588" i="1"/>
  <c r="D588" i="1"/>
  <c r="E588" i="1" s="1"/>
  <c r="B588" i="1"/>
  <c r="C588" i="1" s="1"/>
  <c r="G587" i="1"/>
  <c r="F587" i="1"/>
  <c r="D587" i="1"/>
  <c r="E587" i="1" s="1"/>
  <c r="B587" i="1"/>
  <c r="C587" i="1" s="1"/>
  <c r="G586" i="1"/>
  <c r="F586" i="1"/>
  <c r="D586" i="1"/>
  <c r="E586" i="1" s="1"/>
  <c r="B586" i="1"/>
  <c r="C586" i="1" s="1"/>
  <c r="G585" i="1"/>
  <c r="F585" i="1"/>
  <c r="D585" i="1"/>
  <c r="E585" i="1" s="1"/>
  <c r="B585" i="1"/>
  <c r="C585" i="1" s="1"/>
  <c r="G584" i="1"/>
  <c r="F584" i="1"/>
  <c r="D584" i="1"/>
  <c r="E584" i="1" s="1"/>
  <c r="B584" i="1"/>
  <c r="C584" i="1" s="1"/>
  <c r="G583" i="1"/>
  <c r="F583" i="1"/>
  <c r="D583" i="1"/>
  <c r="E583" i="1" s="1"/>
  <c r="B583" i="1"/>
  <c r="C583" i="1" s="1"/>
  <c r="G582" i="1"/>
  <c r="F582" i="1"/>
  <c r="D582" i="1"/>
  <c r="E582" i="1" s="1"/>
  <c r="B582" i="1"/>
  <c r="C582" i="1" s="1"/>
  <c r="G581" i="1"/>
  <c r="F581" i="1"/>
  <c r="D581" i="1"/>
  <c r="E581" i="1" s="1"/>
  <c r="B581" i="1"/>
  <c r="C581" i="1" s="1"/>
  <c r="G580" i="1"/>
  <c r="F580" i="1"/>
  <c r="D580" i="1"/>
  <c r="E580" i="1" s="1"/>
  <c r="B580" i="1"/>
  <c r="C580" i="1" s="1"/>
  <c r="G579" i="1"/>
  <c r="F579" i="1"/>
  <c r="D579" i="1"/>
  <c r="E579" i="1" s="1"/>
  <c r="B579" i="1"/>
  <c r="C579" i="1" s="1"/>
  <c r="G578" i="1"/>
  <c r="F578" i="1"/>
  <c r="D578" i="1"/>
  <c r="E578" i="1" s="1"/>
  <c r="B578" i="1"/>
  <c r="C578" i="1" s="1"/>
  <c r="G577" i="1"/>
  <c r="F577" i="1"/>
  <c r="D577" i="1"/>
  <c r="E577" i="1" s="1"/>
  <c r="B577" i="1"/>
  <c r="C577" i="1" s="1"/>
  <c r="G576" i="1"/>
  <c r="F576" i="1"/>
  <c r="D576" i="1"/>
  <c r="E576" i="1" s="1"/>
  <c r="B576" i="1"/>
  <c r="C576" i="1" s="1"/>
  <c r="G575" i="1"/>
  <c r="F575" i="1"/>
  <c r="D575" i="1"/>
  <c r="E575" i="1" s="1"/>
  <c r="B575" i="1"/>
  <c r="C575" i="1" s="1"/>
  <c r="G574" i="1"/>
  <c r="F574" i="1"/>
  <c r="D574" i="1"/>
  <c r="E574" i="1" s="1"/>
  <c r="B574" i="1"/>
  <c r="C574" i="1" s="1"/>
  <c r="G573" i="1"/>
  <c r="F573" i="1"/>
  <c r="D573" i="1"/>
  <c r="E573" i="1" s="1"/>
  <c r="B573" i="1"/>
  <c r="C573" i="1" s="1"/>
  <c r="G572" i="1"/>
  <c r="F572" i="1"/>
  <c r="D572" i="1"/>
  <c r="E572" i="1" s="1"/>
  <c r="B572" i="1"/>
  <c r="C572" i="1" s="1"/>
  <c r="G571" i="1"/>
  <c r="F571" i="1"/>
  <c r="D571" i="1"/>
  <c r="E571" i="1" s="1"/>
  <c r="B571" i="1"/>
  <c r="C571" i="1" s="1"/>
  <c r="G570" i="1"/>
  <c r="F570" i="1"/>
  <c r="D570" i="1"/>
  <c r="E570" i="1" s="1"/>
  <c r="B570" i="1"/>
  <c r="C570" i="1" s="1"/>
  <c r="G569" i="1"/>
  <c r="F569" i="1"/>
  <c r="D569" i="1"/>
  <c r="E569" i="1" s="1"/>
  <c r="B569" i="1"/>
  <c r="C569" i="1" s="1"/>
  <c r="G568" i="1"/>
  <c r="F568" i="1"/>
  <c r="D568" i="1"/>
  <c r="E568" i="1" s="1"/>
  <c r="B568" i="1"/>
  <c r="C568" i="1" s="1"/>
  <c r="G567" i="1"/>
  <c r="F567" i="1"/>
  <c r="D567" i="1"/>
  <c r="E567" i="1" s="1"/>
  <c r="B567" i="1"/>
  <c r="C567" i="1" s="1"/>
  <c r="G566" i="1"/>
  <c r="F566" i="1"/>
  <c r="D566" i="1"/>
  <c r="E566" i="1" s="1"/>
  <c r="B566" i="1"/>
  <c r="C566" i="1" s="1"/>
  <c r="G565" i="1"/>
  <c r="F565" i="1"/>
  <c r="D565" i="1"/>
  <c r="E565" i="1" s="1"/>
  <c r="B565" i="1"/>
  <c r="C565" i="1" s="1"/>
  <c r="G564" i="1"/>
  <c r="F564" i="1"/>
  <c r="D564" i="1"/>
  <c r="E564" i="1" s="1"/>
  <c r="B564" i="1"/>
  <c r="C564" i="1" s="1"/>
  <c r="G563" i="1"/>
  <c r="F563" i="1"/>
  <c r="D563" i="1"/>
  <c r="E563" i="1" s="1"/>
  <c r="B563" i="1"/>
  <c r="C563" i="1" s="1"/>
  <c r="G562" i="1"/>
  <c r="F562" i="1"/>
  <c r="D562" i="1"/>
  <c r="E562" i="1" s="1"/>
  <c r="B562" i="1"/>
  <c r="C562" i="1" s="1"/>
  <c r="G561" i="1"/>
  <c r="F561" i="1"/>
  <c r="D561" i="1"/>
  <c r="E561" i="1" s="1"/>
  <c r="B561" i="1"/>
  <c r="C561" i="1" s="1"/>
  <c r="G560" i="1"/>
  <c r="F560" i="1"/>
  <c r="D560" i="1"/>
  <c r="E560" i="1" s="1"/>
  <c r="B560" i="1"/>
  <c r="C560" i="1" s="1"/>
  <c r="G559" i="1"/>
  <c r="F559" i="1"/>
  <c r="D559" i="1"/>
  <c r="E559" i="1" s="1"/>
  <c r="B559" i="1"/>
  <c r="C559" i="1" s="1"/>
  <c r="G558" i="1"/>
  <c r="F558" i="1"/>
  <c r="D558" i="1"/>
  <c r="E558" i="1" s="1"/>
  <c r="B558" i="1"/>
  <c r="C558" i="1" s="1"/>
  <c r="G557" i="1"/>
  <c r="F557" i="1"/>
  <c r="D557" i="1"/>
  <c r="E557" i="1" s="1"/>
  <c r="B557" i="1"/>
  <c r="C557" i="1" s="1"/>
  <c r="G556" i="1"/>
  <c r="F556" i="1"/>
  <c r="D556" i="1"/>
  <c r="E556" i="1" s="1"/>
  <c r="B556" i="1"/>
  <c r="C556" i="1" s="1"/>
  <c r="G555" i="1"/>
  <c r="F555" i="1"/>
  <c r="D555" i="1"/>
  <c r="E555" i="1" s="1"/>
  <c r="B555" i="1"/>
  <c r="C555" i="1" s="1"/>
  <c r="G554" i="1"/>
  <c r="F554" i="1"/>
  <c r="D554" i="1"/>
  <c r="E554" i="1" s="1"/>
  <c r="B554" i="1"/>
  <c r="C554" i="1" s="1"/>
  <c r="G553" i="1"/>
  <c r="F553" i="1"/>
  <c r="D553" i="1"/>
  <c r="E553" i="1" s="1"/>
  <c r="B553" i="1"/>
  <c r="C553" i="1" s="1"/>
  <c r="G552" i="1"/>
  <c r="F552" i="1"/>
  <c r="D552" i="1"/>
  <c r="E552" i="1" s="1"/>
  <c r="B552" i="1"/>
  <c r="C552" i="1" s="1"/>
  <c r="G551" i="1"/>
  <c r="F551" i="1"/>
  <c r="D551" i="1"/>
  <c r="E551" i="1" s="1"/>
  <c r="B551" i="1"/>
  <c r="C551" i="1" s="1"/>
  <c r="G550" i="1"/>
  <c r="F550" i="1"/>
  <c r="D550" i="1"/>
  <c r="E550" i="1" s="1"/>
  <c r="B550" i="1"/>
  <c r="C550" i="1" s="1"/>
  <c r="G549" i="1"/>
  <c r="F549" i="1"/>
  <c r="D549" i="1"/>
  <c r="E549" i="1" s="1"/>
  <c r="B549" i="1"/>
  <c r="C549" i="1" s="1"/>
  <c r="G548" i="1"/>
  <c r="F548" i="1"/>
  <c r="D548" i="1"/>
  <c r="E548" i="1" s="1"/>
  <c r="B548" i="1"/>
  <c r="C548" i="1" s="1"/>
  <c r="G547" i="1"/>
  <c r="F547" i="1"/>
  <c r="D547" i="1"/>
  <c r="E547" i="1" s="1"/>
  <c r="B547" i="1"/>
  <c r="C547" i="1" s="1"/>
  <c r="G546" i="1"/>
  <c r="F546" i="1"/>
  <c r="D546" i="1"/>
  <c r="E546" i="1" s="1"/>
  <c r="B546" i="1"/>
  <c r="C546" i="1" s="1"/>
  <c r="G545" i="1"/>
  <c r="F545" i="1"/>
  <c r="D545" i="1"/>
  <c r="E545" i="1" s="1"/>
  <c r="B545" i="1"/>
  <c r="C545" i="1" s="1"/>
  <c r="G544" i="1"/>
  <c r="F544" i="1"/>
  <c r="D544" i="1"/>
  <c r="E544" i="1" s="1"/>
  <c r="B544" i="1"/>
  <c r="C544" i="1" s="1"/>
  <c r="G543" i="1"/>
  <c r="F543" i="1"/>
  <c r="D543" i="1"/>
  <c r="E543" i="1" s="1"/>
  <c r="B543" i="1"/>
  <c r="C543" i="1" s="1"/>
  <c r="G542" i="1"/>
  <c r="F542" i="1"/>
  <c r="D542" i="1"/>
  <c r="E542" i="1" s="1"/>
  <c r="B542" i="1"/>
  <c r="C542" i="1" s="1"/>
  <c r="G541" i="1"/>
  <c r="F541" i="1"/>
  <c r="D541" i="1"/>
  <c r="E541" i="1" s="1"/>
  <c r="B541" i="1"/>
  <c r="C541" i="1" s="1"/>
  <c r="G540" i="1"/>
  <c r="F540" i="1"/>
  <c r="D540" i="1"/>
  <c r="E540" i="1" s="1"/>
  <c r="B540" i="1"/>
  <c r="C540" i="1" s="1"/>
  <c r="G539" i="1"/>
  <c r="F539" i="1"/>
  <c r="D539" i="1"/>
  <c r="E539" i="1" s="1"/>
  <c r="B539" i="1"/>
  <c r="C539" i="1" s="1"/>
  <c r="G538" i="1"/>
  <c r="F538" i="1"/>
  <c r="D538" i="1"/>
  <c r="E538" i="1" s="1"/>
  <c r="B538" i="1"/>
  <c r="C538" i="1" s="1"/>
  <c r="G537" i="1"/>
  <c r="F537" i="1"/>
  <c r="D537" i="1"/>
  <c r="E537" i="1" s="1"/>
  <c r="B537" i="1"/>
  <c r="C537" i="1" s="1"/>
  <c r="G536" i="1"/>
  <c r="F536" i="1"/>
  <c r="D536" i="1"/>
  <c r="E536" i="1" s="1"/>
  <c r="B536" i="1"/>
  <c r="C536" i="1" s="1"/>
  <c r="G535" i="1"/>
  <c r="F535" i="1"/>
  <c r="D535" i="1"/>
  <c r="E535" i="1" s="1"/>
  <c r="B535" i="1"/>
  <c r="C535" i="1" s="1"/>
  <c r="G534" i="1"/>
  <c r="F534" i="1"/>
  <c r="D534" i="1"/>
  <c r="E534" i="1" s="1"/>
  <c r="B534" i="1"/>
  <c r="C534" i="1" s="1"/>
  <c r="G533" i="1"/>
  <c r="F533" i="1"/>
  <c r="D533" i="1"/>
  <c r="E533" i="1" s="1"/>
  <c r="B533" i="1"/>
  <c r="C533" i="1" s="1"/>
  <c r="G532" i="1"/>
  <c r="F532" i="1"/>
  <c r="D532" i="1"/>
  <c r="E532" i="1" s="1"/>
  <c r="B532" i="1"/>
  <c r="C532" i="1" s="1"/>
  <c r="G531" i="1"/>
  <c r="F531" i="1"/>
  <c r="D531" i="1"/>
  <c r="E531" i="1" s="1"/>
  <c r="B531" i="1"/>
  <c r="C531" i="1" s="1"/>
  <c r="G530" i="1"/>
  <c r="F530" i="1"/>
  <c r="D530" i="1"/>
  <c r="E530" i="1" s="1"/>
  <c r="B530" i="1"/>
  <c r="C530" i="1" s="1"/>
  <c r="G529" i="1"/>
  <c r="F529" i="1"/>
  <c r="D529" i="1"/>
  <c r="E529" i="1" s="1"/>
  <c r="B529" i="1"/>
  <c r="C529" i="1" s="1"/>
  <c r="G528" i="1"/>
  <c r="F528" i="1"/>
  <c r="D528" i="1"/>
  <c r="E528" i="1" s="1"/>
  <c r="B528" i="1"/>
  <c r="C528" i="1" s="1"/>
  <c r="G527" i="1"/>
  <c r="F527" i="1"/>
  <c r="D527" i="1"/>
  <c r="E527" i="1" s="1"/>
  <c r="B527" i="1"/>
  <c r="C527" i="1" s="1"/>
  <c r="G526" i="1"/>
  <c r="F526" i="1"/>
  <c r="D526" i="1"/>
  <c r="E526" i="1" s="1"/>
  <c r="B526" i="1"/>
  <c r="C526" i="1" s="1"/>
  <c r="G525" i="1"/>
  <c r="F525" i="1"/>
  <c r="D525" i="1"/>
  <c r="E525" i="1" s="1"/>
  <c r="B525" i="1"/>
  <c r="C525" i="1" s="1"/>
  <c r="G524" i="1"/>
  <c r="F524" i="1"/>
  <c r="D524" i="1"/>
  <c r="E524" i="1" s="1"/>
  <c r="B524" i="1"/>
  <c r="C524" i="1" s="1"/>
  <c r="G523" i="1"/>
  <c r="F523" i="1"/>
  <c r="D523" i="1"/>
  <c r="E523" i="1" s="1"/>
  <c r="B523" i="1"/>
  <c r="C523" i="1" s="1"/>
  <c r="G522" i="1"/>
  <c r="F522" i="1"/>
  <c r="D522" i="1"/>
  <c r="E522" i="1" s="1"/>
  <c r="B522" i="1"/>
  <c r="C522" i="1" s="1"/>
  <c r="G521" i="1"/>
  <c r="F521" i="1"/>
  <c r="D521" i="1"/>
  <c r="E521" i="1" s="1"/>
  <c r="B521" i="1"/>
  <c r="C521" i="1" s="1"/>
  <c r="G520" i="1"/>
  <c r="F520" i="1"/>
  <c r="D520" i="1"/>
  <c r="E520" i="1" s="1"/>
  <c r="B520" i="1"/>
  <c r="C520" i="1" s="1"/>
  <c r="G519" i="1"/>
  <c r="F519" i="1"/>
  <c r="D519" i="1"/>
  <c r="E519" i="1" s="1"/>
  <c r="B519" i="1"/>
  <c r="C519" i="1" s="1"/>
  <c r="G518" i="1"/>
  <c r="F518" i="1"/>
  <c r="D518" i="1"/>
  <c r="E518" i="1" s="1"/>
  <c r="B518" i="1"/>
  <c r="C518" i="1" s="1"/>
  <c r="G517" i="1"/>
  <c r="F517" i="1"/>
  <c r="D517" i="1"/>
  <c r="E517" i="1" s="1"/>
  <c r="B517" i="1"/>
  <c r="C517" i="1" s="1"/>
  <c r="G516" i="1"/>
  <c r="F516" i="1"/>
  <c r="D516" i="1"/>
  <c r="E516" i="1" s="1"/>
  <c r="B516" i="1"/>
  <c r="C516" i="1" s="1"/>
  <c r="G515" i="1"/>
  <c r="F515" i="1"/>
  <c r="D515" i="1"/>
  <c r="E515" i="1" s="1"/>
  <c r="B515" i="1"/>
  <c r="C515" i="1" s="1"/>
  <c r="G514" i="1"/>
  <c r="F514" i="1"/>
  <c r="D514" i="1"/>
  <c r="E514" i="1" s="1"/>
  <c r="B514" i="1"/>
  <c r="C514" i="1" s="1"/>
  <c r="G513" i="1"/>
  <c r="F513" i="1"/>
  <c r="D513" i="1"/>
  <c r="E513" i="1" s="1"/>
  <c r="B513" i="1"/>
  <c r="C513" i="1" s="1"/>
  <c r="G512" i="1"/>
  <c r="F512" i="1"/>
  <c r="D512" i="1"/>
  <c r="E512" i="1" s="1"/>
  <c r="B512" i="1"/>
  <c r="C512" i="1" s="1"/>
  <c r="G511" i="1"/>
  <c r="F511" i="1"/>
  <c r="D511" i="1"/>
  <c r="E511" i="1" s="1"/>
  <c r="B511" i="1"/>
  <c r="C511" i="1" s="1"/>
  <c r="G510" i="1"/>
  <c r="F510" i="1"/>
  <c r="D510" i="1"/>
  <c r="E510" i="1" s="1"/>
  <c r="B510" i="1"/>
  <c r="C510" i="1" s="1"/>
  <c r="G509" i="1"/>
  <c r="F509" i="1"/>
  <c r="D509" i="1"/>
  <c r="E509" i="1" s="1"/>
  <c r="B509" i="1"/>
  <c r="C509" i="1" s="1"/>
  <c r="G508" i="1"/>
  <c r="F508" i="1"/>
  <c r="D508" i="1"/>
  <c r="E508" i="1" s="1"/>
  <c r="B508" i="1"/>
  <c r="C508" i="1" s="1"/>
  <c r="G507" i="1"/>
  <c r="F507" i="1"/>
  <c r="D507" i="1"/>
  <c r="E507" i="1" s="1"/>
  <c r="B507" i="1"/>
  <c r="C507" i="1" s="1"/>
  <c r="G506" i="1"/>
  <c r="F506" i="1"/>
  <c r="D506" i="1"/>
  <c r="E506" i="1" s="1"/>
  <c r="B506" i="1"/>
  <c r="C506" i="1" s="1"/>
  <c r="G505" i="1"/>
  <c r="F505" i="1"/>
  <c r="D505" i="1"/>
  <c r="E505" i="1" s="1"/>
  <c r="B505" i="1"/>
  <c r="C505" i="1" s="1"/>
  <c r="G504" i="1"/>
  <c r="F504" i="1"/>
  <c r="D504" i="1"/>
  <c r="E504" i="1" s="1"/>
  <c r="B504" i="1"/>
  <c r="C504" i="1" s="1"/>
  <c r="G503" i="1"/>
  <c r="F503" i="1"/>
  <c r="D503" i="1"/>
  <c r="E503" i="1" s="1"/>
  <c r="B503" i="1"/>
  <c r="C503" i="1" s="1"/>
  <c r="G502" i="1"/>
  <c r="F502" i="1"/>
  <c r="D502" i="1"/>
  <c r="E502" i="1" s="1"/>
  <c r="B502" i="1"/>
  <c r="C502" i="1" s="1"/>
  <c r="G501" i="1"/>
  <c r="F501" i="1"/>
  <c r="D501" i="1"/>
  <c r="E501" i="1" s="1"/>
  <c r="B501" i="1"/>
  <c r="C501" i="1" s="1"/>
  <c r="G500" i="1"/>
  <c r="F500" i="1"/>
  <c r="D500" i="1"/>
  <c r="E500" i="1" s="1"/>
  <c r="B500" i="1"/>
  <c r="C500" i="1" s="1"/>
  <c r="G499" i="1"/>
  <c r="F499" i="1"/>
  <c r="D499" i="1"/>
  <c r="E499" i="1" s="1"/>
  <c r="B499" i="1"/>
  <c r="C499" i="1" s="1"/>
  <c r="G498" i="1"/>
  <c r="F498" i="1"/>
  <c r="D498" i="1"/>
  <c r="E498" i="1" s="1"/>
  <c r="B498" i="1"/>
  <c r="C498" i="1" s="1"/>
  <c r="G497" i="1"/>
  <c r="F497" i="1"/>
  <c r="D497" i="1"/>
  <c r="E497" i="1" s="1"/>
  <c r="B497" i="1"/>
  <c r="C497" i="1" s="1"/>
  <c r="G496" i="1"/>
  <c r="F496" i="1"/>
  <c r="D496" i="1"/>
  <c r="E496" i="1" s="1"/>
  <c r="B496" i="1"/>
  <c r="C496" i="1" s="1"/>
  <c r="G495" i="1"/>
  <c r="F495" i="1"/>
  <c r="D495" i="1"/>
  <c r="E495" i="1" s="1"/>
  <c r="B495" i="1"/>
  <c r="C495" i="1" s="1"/>
  <c r="G494" i="1"/>
  <c r="F494" i="1"/>
  <c r="D494" i="1"/>
  <c r="E494" i="1" s="1"/>
  <c r="B494" i="1"/>
  <c r="C494" i="1" s="1"/>
  <c r="G493" i="1"/>
  <c r="F493" i="1"/>
  <c r="D493" i="1"/>
  <c r="E493" i="1" s="1"/>
  <c r="B493" i="1"/>
  <c r="C493" i="1" s="1"/>
  <c r="G492" i="1"/>
  <c r="F492" i="1"/>
  <c r="D492" i="1"/>
  <c r="E492" i="1" s="1"/>
  <c r="B492" i="1"/>
  <c r="C492" i="1" s="1"/>
  <c r="G491" i="1"/>
  <c r="F491" i="1"/>
  <c r="D491" i="1"/>
  <c r="E491" i="1" s="1"/>
  <c r="B491" i="1"/>
  <c r="C491" i="1" s="1"/>
  <c r="G490" i="1"/>
  <c r="F490" i="1"/>
  <c r="D490" i="1"/>
  <c r="E490" i="1" s="1"/>
  <c r="B490" i="1"/>
  <c r="C490" i="1" s="1"/>
  <c r="G489" i="1"/>
  <c r="F489" i="1"/>
  <c r="D489" i="1"/>
  <c r="E489" i="1" s="1"/>
  <c r="B489" i="1"/>
  <c r="C489" i="1" s="1"/>
  <c r="G488" i="1"/>
  <c r="F488" i="1"/>
  <c r="D488" i="1"/>
  <c r="E488" i="1" s="1"/>
  <c r="B488" i="1"/>
  <c r="C488" i="1" s="1"/>
  <c r="G487" i="1"/>
  <c r="F487" i="1"/>
  <c r="D487" i="1"/>
  <c r="E487" i="1" s="1"/>
  <c r="B487" i="1"/>
  <c r="C487" i="1" s="1"/>
  <c r="G486" i="1"/>
  <c r="F486" i="1"/>
  <c r="D486" i="1"/>
  <c r="E486" i="1" s="1"/>
  <c r="B486" i="1"/>
  <c r="C486" i="1" s="1"/>
  <c r="G485" i="1"/>
  <c r="F485" i="1"/>
  <c r="D485" i="1"/>
  <c r="E485" i="1" s="1"/>
  <c r="B485" i="1"/>
  <c r="C485" i="1" s="1"/>
  <c r="G484" i="1"/>
  <c r="F484" i="1"/>
  <c r="D484" i="1"/>
  <c r="E484" i="1" s="1"/>
  <c r="B484" i="1"/>
  <c r="C484" i="1" s="1"/>
  <c r="G483" i="1"/>
  <c r="F483" i="1"/>
  <c r="D483" i="1"/>
  <c r="E483" i="1" s="1"/>
  <c r="B483" i="1"/>
  <c r="C483" i="1" s="1"/>
  <c r="G482" i="1"/>
  <c r="F482" i="1"/>
  <c r="D482" i="1"/>
  <c r="E482" i="1" s="1"/>
  <c r="B482" i="1"/>
  <c r="C482" i="1" s="1"/>
  <c r="G481" i="1"/>
  <c r="F481" i="1"/>
  <c r="D481" i="1"/>
  <c r="E481" i="1" s="1"/>
  <c r="B481" i="1"/>
  <c r="C481" i="1" s="1"/>
  <c r="G480" i="1"/>
  <c r="F480" i="1"/>
  <c r="D480" i="1"/>
  <c r="E480" i="1" s="1"/>
  <c r="B480" i="1"/>
  <c r="C480" i="1" s="1"/>
  <c r="G479" i="1"/>
  <c r="F479" i="1"/>
  <c r="D479" i="1"/>
  <c r="E479" i="1" s="1"/>
  <c r="B479" i="1"/>
  <c r="C479" i="1" s="1"/>
  <c r="G478" i="1"/>
  <c r="F478" i="1"/>
  <c r="D478" i="1"/>
  <c r="E478" i="1" s="1"/>
  <c r="B478" i="1"/>
  <c r="C478" i="1" s="1"/>
  <c r="G477" i="1"/>
  <c r="F477" i="1"/>
  <c r="D477" i="1"/>
  <c r="E477" i="1" s="1"/>
  <c r="B477" i="1"/>
  <c r="C477" i="1" s="1"/>
  <c r="G476" i="1"/>
  <c r="F476" i="1"/>
  <c r="D476" i="1"/>
  <c r="E476" i="1" s="1"/>
  <c r="B476" i="1"/>
  <c r="C476" i="1" s="1"/>
  <c r="G475" i="1"/>
  <c r="F475" i="1"/>
  <c r="D475" i="1"/>
  <c r="E475" i="1" s="1"/>
  <c r="B475" i="1"/>
  <c r="C475" i="1" s="1"/>
  <c r="G474" i="1"/>
  <c r="F474" i="1"/>
  <c r="D474" i="1"/>
  <c r="E474" i="1" s="1"/>
  <c r="B474" i="1"/>
  <c r="C474" i="1" s="1"/>
  <c r="G473" i="1"/>
  <c r="F473" i="1"/>
  <c r="D473" i="1"/>
  <c r="E473" i="1" s="1"/>
  <c r="B473" i="1"/>
  <c r="C473" i="1" s="1"/>
  <c r="G472" i="1"/>
  <c r="F472" i="1"/>
  <c r="D472" i="1"/>
  <c r="E472" i="1" s="1"/>
  <c r="B472" i="1"/>
  <c r="C472" i="1" s="1"/>
  <c r="G471" i="1"/>
  <c r="F471" i="1"/>
  <c r="D471" i="1"/>
  <c r="E471" i="1" s="1"/>
  <c r="B471" i="1"/>
  <c r="C471" i="1" s="1"/>
  <c r="G470" i="1"/>
  <c r="F470" i="1"/>
  <c r="D470" i="1"/>
  <c r="E470" i="1" s="1"/>
  <c r="B470" i="1"/>
  <c r="C470" i="1" s="1"/>
  <c r="G469" i="1"/>
  <c r="F469" i="1"/>
  <c r="D469" i="1"/>
  <c r="E469" i="1" s="1"/>
  <c r="B469" i="1"/>
  <c r="C469" i="1" s="1"/>
  <c r="G468" i="1"/>
  <c r="F468" i="1"/>
  <c r="D468" i="1"/>
  <c r="E468" i="1" s="1"/>
  <c r="B468" i="1"/>
  <c r="C468" i="1" s="1"/>
  <c r="G467" i="1"/>
  <c r="F467" i="1"/>
  <c r="D467" i="1"/>
  <c r="E467" i="1" s="1"/>
  <c r="B467" i="1"/>
  <c r="C467" i="1" s="1"/>
  <c r="G466" i="1"/>
  <c r="F466" i="1"/>
  <c r="D466" i="1"/>
  <c r="E466" i="1" s="1"/>
  <c r="B466" i="1"/>
  <c r="C466" i="1" s="1"/>
  <c r="G465" i="1"/>
  <c r="F465" i="1"/>
  <c r="D465" i="1"/>
  <c r="E465" i="1" s="1"/>
  <c r="B465" i="1"/>
  <c r="C465" i="1" s="1"/>
  <c r="G464" i="1"/>
  <c r="F464" i="1"/>
  <c r="D464" i="1"/>
  <c r="E464" i="1" s="1"/>
  <c r="B464" i="1"/>
  <c r="C464" i="1" s="1"/>
  <c r="G463" i="1"/>
  <c r="F463" i="1"/>
  <c r="D463" i="1"/>
  <c r="E463" i="1" s="1"/>
  <c r="B463" i="1"/>
  <c r="C463" i="1" s="1"/>
  <c r="G462" i="1"/>
  <c r="F462" i="1"/>
  <c r="D462" i="1"/>
  <c r="E462" i="1" s="1"/>
  <c r="B462" i="1"/>
  <c r="C462" i="1" s="1"/>
  <c r="G461" i="1"/>
  <c r="F461" i="1"/>
  <c r="D461" i="1"/>
  <c r="E461" i="1" s="1"/>
  <c r="B461" i="1"/>
  <c r="C461" i="1" s="1"/>
  <c r="G460" i="1"/>
  <c r="F460" i="1"/>
  <c r="D460" i="1"/>
  <c r="E460" i="1" s="1"/>
  <c r="B460" i="1"/>
  <c r="C460" i="1" s="1"/>
  <c r="G459" i="1"/>
  <c r="F459" i="1"/>
  <c r="D459" i="1"/>
  <c r="E459" i="1" s="1"/>
  <c r="B459" i="1"/>
  <c r="C459" i="1" s="1"/>
  <c r="G458" i="1"/>
  <c r="F458" i="1"/>
  <c r="D458" i="1"/>
  <c r="E458" i="1" s="1"/>
  <c r="B458" i="1"/>
  <c r="C458" i="1" s="1"/>
  <c r="G457" i="1"/>
  <c r="F457" i="1"/>
  <c r="D457" i="1"/>
  <c r="E457" i="1" s="1"/>
  <c r="B457" i="1"/>
  <c r="C457" i="1" s="1"/>
  <c r="G456" i="1"/>
  <c r="F456" i="1"/>
  <c r="D456" i="1"/>
  <c r="E456" i="1" s="1"/>
  <c r="B456" i="1"/>
  <c r="C456" i="1" s="1"/>
  <c r="G455" i="1"/>
  <c r="F455" i="1"/>
  <c r="D455" i="1"/>
  <c r="E455" i="1" s="1"/>
  <c r="B455" i="1"/>
  <c r="C455" i="1" s="1"/>
  <c r="G454" i="1"/>
  <c r="F454" i="1"/>
  <c r="D454" i="1"/>
  <c r="E454" i="1" s="1"/>
  <c r="B454" i="1"/>
  <c r="C454" i="1" s="1"/>
  <c r="G453" i="1"/>
  <c r="F453" i="1"/>
  <c r="D453" i="1"/>
  <c r="E453" i="1" s="1"/>
  <c r="B453" i="1"/>
  <c r="C453" i="1" s="1"/>
  <c r="G452" i="1"/>
  <c r="F452" i="1"/>
  <c r="D452" i="1"/>
  <c r="E452" i="1" s="1"/>
  <c r="B452" i="1"/>
  <c r="C452" i="1" s="1"/>
  <c r="G451" i="1"/>
  <c r="F451" i="1"/>
  <c r="D451" i="1"/>
  <c r="E451" i="1" s="1"/>
  <c r="B451" i="1"/>
  <c r="C451" i="1" s="1"/>
  <c r="G450" i="1"/>
  <c r="F450" i="1"/>
  <c r="D450" i="1"/>
  <c r="E450" i="1" s="1"/>
  <c r="B450" i="1"/>
  <c r="C450" i="1" s="1"/>
  <c r="G449" i="1"/>
  <c r="F449" i="1"/>
  <c r="D449" i="1"/>
  <c r="E449" i="1" s="1"/>
  <c r="B449" i="1"/>
  <c r="C449" i="1" s="1"/>
  <c r="G448" i="1"/>
  <c r="F448" i="1"/>
  <c r="D448" i="1"/>
  <c r="E448" i="1" s="1"/>
  <c r="B448" i="1"/>
  <c r="C448" i="1" s="1"/>
  <c r="G447" i="1"/>
  <c r="F447" i="1"/>
  <c r="D447" i="1"/>
  <c r="E447" i="1" s="1"/>
  <c r="B447" i="1"/>
  <c r="C447" i="1" s="1"/>
  <c r="G446" i="1"/>
  <c r="F446" i="1"/>
  <c r="D446" i="1"/>
  <c r="E446" i="1" s="1"/>
  <c r="B446" i="1"/>
  <c r="C446" i="1" s="1"/>
  <c r="G445" i="1"/>
  <c r="F445" i="1"/>
  <c r="D445" i="1"/>
  <c r="E445" i="1" s="1"/>
  <c r="B445" i="1"/>
  <c r="C445" i="1" s="1"/>
  <c r="G444" i="1"/>
  <c r="F444" i="1"/>
  <c r="D444" i="1"/>
  <c r="E444" i="1" s="1"/>
  <c r="B444" i="1"/>
  <c r="C444" i="1" s="1"/>
  <c r="G443" i="1"/>
  <c r="F443" i="1"/>
  <c r="D443" i="1"/>
  <c r="E443" i="1" s="1"/>
  <c r="B443" i="1"/>
  <c r="C443" i="1" s="1"/>
  <c r="G442" i="1"/>
  <c r="F442" i="1"/>
  <c r="D442" i="1"/>
  <c r="E442" i="1" s="1"/>
  <c r="B442" i="1"/>
  <c r="C442" i="1" s="1"/>
  <c r="G441" i="1"/>
  <c r="F441" i="1"/>
  <c r="D441" i="1"/>
  <c r="E441" i="1" s="1"/>
  <c r="B441" i="1"/>
  <c r="C441" i="1" s="1"/>
  <c r="G440" i="1"/>
  <c r="F440" i="1"/>
  <c r="D440" i="1"/>
  <c r="E440" i="1" s="1"/>
  <c r="B440" i="1"/>
  <c r="C440" i="1" s="1"/>
  <c r="G439" i="1"/>
  <c r="F439" i="1"/>
  <c r="D439" i="1"/>
  <c r="E439" i="1" s="1"/>
  <c r="B439" i="1"/>
  <c r="C439" i="1" s="1"/>
  <c r="G438" i="1"/>
  <c r="F438" i="1"/>
  <c r="D438" i="1"/>
  <c r="E438" i="1" s="1"/>
  <c r="B438" i="1"/>
  <c r="C438" i="1" s="1"/>
  <c r="G437" i="1"/>
  <c r="F437" i="1"/>
  <c r="D437" i="1"/>
  <c r="E437" i="1" s="1"/>
  <c r="B437" i="1"/>
  <c r="C437" i="1" s="1"/>
  <c r="G436" i="1"/>
  <c r="F436" i="1"/>
  <c r="D436" i="1"/>
  <c r="E436" i="1" s="1"/>
  <c r="B436" i="1"/>
  <c r="C436" i="1" s="1"/>
  <c r="G435" i="1"/>
  <c r="F435" i="1"/>
  <c r="D435" i="1"/>
  <c r="E435" i="1" s="1"/>
  <c r="B435" i="1"/>
  <c r="C435" i="1" s="1"/>
  <c r="G434" i="1"/>
  <c r="F434" i="1"/>
  <c r="D434" i="1"/>
  <c r="E434" i="1" s="1"/>
  <c r="B434" i="1"/>
  <c r="C434" i="1" s="1"/>
  <c r="G433" i="1"/>
  <c r="F433" i="1"/>
  <c r="D433" i="1"/>
  <c r="E433" i="1" s="1"/>
  <c r="B433" i="1"/>
  <c r="C433" i="1" s="1"/>
  <c r="G432" i="1"/>
  <c r="F432" i="1"/>
  <c r="D432" i="1"/>
  <c r="E432" i="1" s="1"/>
  <c r="B432" i="1"/>
  <c r="C432" i="1" s="1"/>
  <c r="G431" i="1"/>
  <c r="F431" i="1"/>
  <c r="D431" i="1"/>
  <c r="E431" i="1" s="1"/>
  <c r="B431" i="1"/>
  <c r="C431" i="1" s="1"/>
  <c r="G430" i="1"/>
  <c r="F430" i="1"/>
  <c r="D430" i="1"/>
  <c r="E430" i="1" s="1"/>
  <c r="B430" i="1"/>
  <c r="C430" i="1" s="1"/>
  <c r="G429" i="1"/>
  <c r="F429" i="1"/>
  <c r="D429" i="1"/>
  <c r="E429" i="1" s="1"/>
  <c r="B429" i="1"/>
  <c r="C429" i="1" s="1"/>
  <c r="G428" i="1"/>
  <c r="F428" i="1"/>
  <c r="D428" i="1"/>
  <c r="E428" i="1" s="1"/>
  <c r="B428" i="1"/>
  <c r="C428" i="1" s="1"/>
  <c r="G427" i="1"/>
  <c r="F427" i="1"/>
  <c r="D427" i="1"/>
  <c r="E427" i="1" s="1"/>
  <c r="B427" i="1"/>
  <c r="C427" i="1" s="1"/>
  <c r="G426" i="1"/>
  <c r="F426" i="1"/>
  <c r="D426" i="1"/>
  <c r="E426" i="1" s="1"/>
  <c r="B426" i="1"/>
  <c r="C426" i="1" s="1"/>
  <c r="G425" i="1"/>
  <c r="F425" i="1"/>
  <c r="D425" i="1"/>
  <c r="E425" i="1" s="1"/>
  <c r="B425" i="1"/>
  <c r="C425" i="1" s="1"/>
  <c r="G424" i="1"/>
  <c r="F424" i="1"/>
  <c r="D424" i="1"/>
  <c r="E424" i="1" s="1"/>
  <c r="B424" i="1"/>
  <c r="C424" i="1" s="1"/>
  <c r="G423" i="1"/>
  <c r="F423" i="1"/>
  <c r="D423" i="1"/>
  <c r="E423" i="1" s="1"/>
  <c r="B423" i="1"/>
  <c r="C423" i="1" s="1"/>
  <c r="G422" i="1"/>
  <c r="F422" i="1"/>
  <c r="D422" i="1"/>
  <c r="E422" i="1" s="1"/>
  <c r="B422" i="1"/>
  <c r="C422" i="1" s="1"/>
  <c r="G421" i="1"/>
  <c r="F421" i="1"/>
  <c r="D421" i="1"/>
  <c r="E421" i="1" s="1"/>
  <c r="B421" i="1"/>
  <c r="C421" i="1" s="1"/>
  <c r="G420" i="1"/>
  <c r="F420" i="1"/>
  <c r="D420" i="1"/>
  <c r="E420" i="1" s="1"/>
  <c r="B420" i="1"/>
  <c r="C420" i="1" s="1"/>
  <c r="G419" i="1"/>
  <c r="F419" i="1"/>
  <c r="D419" i="1"/>
  <c r="E419" i="1" s="1"/>
  <c r="B419" i="1"/>
  <c r="C419" i="1" s="1"/>
  <c r="G418" i="1"/>
  <c r="F418" i="1"/>
  <c r="D418" i="1"/>
  <c r="E418" i="1" s="1"/>
  <c r="B418" i="1"/>
  <c r="C418" i="1" s="1"/>
  <c r="G417" i="1"/>
  <c r="F417" i="1"/>
  <c r="D417" i="1"/>
  <c r="E417" i="1" s="1"/>
  <c r="B417" i="1"/>
  <c r="C417" i="1" s="1"/>
  <c r="G416" i="1"/>
  <c r="F416" i="1"/>
  <c r="D416" i="1"/>
  <c r="E416" i="1" s="1"/>
  <c r="B416" i="1"/>
  <c r="C416" i="1" s="1"/>
  <c r="G415" i="1"/>
  <c r="F415" i="1"/>
  <c r="D415" i="1"/>
  <c r="E415" i="1" s="1"/>
  <c r="B415" i="1"/>
  <c r="C415" i="1" s="1"/>
  <c r="G414" i="1"/>
  <c r="F414" i="1"/>
  <c r="D414" i="1"/>
  <c r="E414" i="1" s="1"/>
  <c r="B414" i="1"/>
  <c r="C414" i="1" s="1"/>
  <c r="G413" i="1"/>
  <c r="F413" i="1"/>
  <c r="D413" i="1"/>
  <c r="E413" i="1" s="1"/>
  <c r="B413" i="1"/>
  <c r="C413" i="1" s="1"/>
  <c r="G412" i="1"/>
  <c r="F412" i="1"/>
  <c r="D412" i="1"/>
  <c r="E412" i="1" s="1"/>
  <c r="B412" i="1"/>
  <c r="C412" i="1" s="1"/>
  <c r="G411" i="1"/>
  <c r="F411" i="1"/>
  <c r="D411" i="1"/>
  <c r="E411" i="1" s="1"/>
  <c r="B411" i="1"/>
  <c r="C411" i="1" s="1"/>
  <c r="G410" i="1"/>
  <c r="F410" i="1"/>
  <c r="D410" i="1"/>
  <c r="E410" i="1" s="1"/>
  <c r="B410" i="1"/>
  <c r="C410" i="1" s="1"/>
  <c r="G409" i="1"/>
  <c r="F409" i="1"/>
  <c r="D409" i="1"/>
  <c r="E409" i="1" s="1"/>
  <c r="B409" i="1"/>
  <c r="C409" i="1" s="1"/>
  <c r="G408" i="1"/>
  <c r="F408" i="1"/>
  <c r="D408" i="1"/>
  <c r="E408" i="1" s="1"/>
  <c r="B408" i="1"/>
  <c r="C408" i="1" s="1"/>
  <c r="G407" i="1"/>
  <c r="F407" i="1"/>
  <c r="D407" i="1"/>
  <c r="E407" i="1" s="1"/>
  <c r="B407" i="1"/>
  <c r="C407" i="1" s="1"/>
  <c r="G406" i="1"/>
  <c r="F406" i="1"/>
  <c r="D406" i="1"/>
  <c r="E406" i="1" s="1"/>
  <c r="B406" i="1"/>
  <c r="C406" i="1" s="1"/>
  <c r="G405" i="1"/>
  <c r="F405" i="1"/>
  <c r="D405" i="1"/>
  <c r="E405" i="1" s="1"/>
  <c r="B405" i="1"/>
  <c r="C405" i="1" s="1"/>
  <c r="G404" i="1"/>
  <c r="F404" i="1"/>
  <c r="D404" i="1"/>
  <c r="E404" i="1" s="1"/>
  <c r="B404" i="1"/>
  <c r="C404" i="1" s="1"/>
  <c r="G403" i="1"/>
  <c r="F403" i="1"/>
  <c r="D403" i="1"/>
  <c r="E403" i="1" s="1"/>
  <c r="B403" i="1"/>
  <c r="C403" i="1" s="1"/>
  <c r="G402" i="1"/>
  <c r="F402" i="1"/>
  <c r="D402" i="1"/>
  <c r="E402" i="1" s="1"/>
  <c r="B402" i="1"/>
  <c r="C402" i="1" s="1"/>
  <c r="G401" i="1"/>
  <c r="F401" i="1"/>
  <c r="D401" i="1"/>
  <c r="E401" i="1" s="1"/>
  <c r="B401" i="1"/>
  <c r="C401" i="1" s="1"/>
  <c r="G400" i="1"/>
  <c r="F400" i="1"/>
  <c r="D400" i="1"/>
  <c r="E400" i="1" s="1"/>
  <c r="B400" i="1"/>
  <c r="C400" i="1" s="1"/>
  <c r="G399" i="1"/>
  <c r="F399" i="1"/>
  <c r="D399" i="1"/>
  <c r="E399" i="1" s="1"/>
  <c r="B399" i="1"/>
  <c r="C399" i="1" s="1"/>
  <c r="G398" i="1"/>
  <c r="F398" i="1"/>
  <c r="D398" i="1"/>
  <c r="E398" i="1" s="1"/>
  <c r="B398" i="1"/>
  <c r="C398" i="1" s="1"/>
  <c r="G397" i="1"/>
  <c r="F397" i="1"/>
  <c r="D397" i="1"/>
  <c r="E397" i="1" s="1"/>
  <c r="B397" i="1"/>
  <c r="C397" i="1" s="1"/>
  <c r="G396" i="1"/>
  <c r="F396" i="1"/>
  <c r="D396" i="1"/>
  <c r="E396" i="1" s="1"/>
  <c r="B396" i="1"/>
  <c r="C396" i="1" s="1"/>
  <c r="G395" i="1"/>
  <c r="F395" i="1"/>
  <c r="D395" i="1"/>
  <c r="E395" i="1" s="1"/>
  <c r="B395" i="1"/>
  <c r="C395" i="1" s="1"/>
  <c r="G394" i="1"/>
  <c r="F394" i="1"/>
  <c r="D394" i="1"/>
  <c r="E394" i="1" s="1"/>
  <c r="B394" i="1"/>
  <c r="C394" i="1" s="1"/>
  <c r="G393" i="1"/>
  <c r="F393" i="1"/>
  <c r="D393" i="1"/>
  <c r="E393" i="1" s="1"/>
  <c r="B393" i="1"/>
  <c r="C393" i="1" s="1"/>
  <c r="G392" i="1"/>
  <c r="F392" i="1"/>
  <c r="D392" i="1"/>
  <c r="E392" i="1" s="1"/>
  <c r="B392" i="1"/>
  <c r="C392" i="1" s="1"/>
  <c r="G391" i="1"/>
  <c r="F391" i="1"/>
  <c r="D391" i="1"/>
  <c r="E391" i="1" s="1"/>
  <c r="B391" i="1"/>
  <c r="C391" i="1" s="1"/>
  <c r="G390" i="1"/>
  <c r="F390" i="1"/>
  <c r="D390" i="1"/>
  <c r="E390" i="1" s="1"/>
  <c r="B390" i="1"/>
  <c r="C390" i="1" s="1"/>
  <c r="G389" i="1"/>
  <c r="F389" i="1"/>
  <c r="D389" i="1"/>
  <c r="E389" i="1" s="1"/>
  <c r="B389" i="1"/>
  <c r="C389" i="1" s="1"/>
  <c r="G388" i="1"/>
  <c r="F388" i="1"/>
  <c r="D388" i="1"/>
  <c r="E388" i="1" s="1"/>
  <c r="B388" i="1"/>
  <c r="C388" i="1" s="1"/>
  <c r="G387" i="1"/>
  <c r="F387" i="1"/>
  <c r="D387" i="1"/>
  <c r="E387" i="1" s="1"/>
  <c r="B387" i="1"/>
  <c r="C387" i="1" s="1"/>
  <c r="G386" i="1"/>
  <c r="F386" i="1"/>
  <c r="D386" i="1"/>
  <c r="E386" i="1" s="1"/>
  <c r="B386" i="1"/>
  <c r="C386" i="1" s="1"/>
  <c r="G385" i="1"/>
  <c r="F385" i="1"/>
  <c r="D385" i="1"/>
  <c r="E385" i="1" s="1"/>
  <c r="B385" i="1"/>
  <c r="C385" i="1" s="1"/>
  <c r="G384" i="1"/>
  <c r="F384" i="1"/>
  <c r="D384" i="1"/>
  <c r="E384" i="1" s="1"/>
  <c r="B384" i="1"/>
  <c r="C384" i="1" s="1"/>
  <c r="G383" i="1"/>
  <c r="F383" i="1"/>
  <c r="D383" i="1"/>
  <c r="E383" i="1" s="1"/>
  <c r="B383" i="1"/>
  <c r="C383" i="1" s="1"/>
  <c r="G382" i="1"/>
  <c r="F382" i="1"/>
  <c r="D382" i="1"/>
  <c r="E382" i="1" s="1"/>
  <c r="B382" i="1"/>
  <c r="C382" i="1" s="1"/>
  <c r="G381" i="1"/>
  <c r="F381" i="1"/>
  <c r="D381" i="1"/>
  <c r="E381" i="1" s="1"/>
  <c r="B381" i="1"/>
  <c r="C381" i="1" s="1"/>
  <c r="G380" i="1"/>
  <c r="F380" i="1"/>
  <c r="D380" i="1"/>
  <c r="E380" i="1" s="1"/>
  <c r="B380" i="1"/>
  <c r="C380" i="1" s="1"/>
  <c r="G379" i="1"/>
  <c r="F379" i="1"/>
  <c r="D379" i="1"/>
  <c r="E379" i="1" s="1"/>
  <c r="B379" i="1"/>
  <c r="C379" i="1" s="1"/>
  <c r="G378" i="1"/>
  <c r="F378" i="1"/>
  <c r="D378" i="1"/>
  <c r="E378" i="1" s="1"/>
  <c r="B378" i="1"/>
  <c r="C378" i="1" s="1"/>
  <c r="G377" i="1"/>
  <c r="F377" i="1"/>
  <c r="D377" i="1"/>
  <c r="E377" i="1" s="1"/>
  <c r="B377" i="1"/>
  <c r="C377" i="1" s="1"/>
  <c r="G376" i="1"/>
  <c r="F376" i="1"/>
  <c r="D376" i="1"/>
  <c r="E376" i="1" s="1"/>
  <c r="B376" i="1"/>
  <c r="C376" i="1" s="1"/>
  <c r="G375" i="1"/>
  <c r="F375" i="1"/>
  <c r="D375" i="1"/>
  <c r="E375" i="1" s="1"/>
  <c r="B375" i="1"/>
  <c r="C375" i="1" s="1"/>
  <c r="G374" i="1"/>
  <c r="F374" i="1"/>
  <c r="D374" i="1"/>
  <c r="E374" i="1" s="1"/>
  <c r="B374" i="1"/>
  <c r="C374" i="1" s="1"/>
  <c r="G373" i="1"/>
  <c r="F373" i="1"/>
  <c r="D373" i="1"/>
  <c r="E373" i="1" s="1"/>
  <c r="B373" i="1"/>
  <c r="C373" i="1" s="1"/>
  <c r="G372" i="1"/>
  <c r="F372" i="1"/>
  <c r="D372" i="1"/>
  <c r="E372" i="1" s="1"/>
  <c r="B372" i="1"/>
  <c r="C372" i="1" s="1"/>
  <c r="G371" i="1"/>
  <c r="F371" i="1"/>
  <c r="D371" i="1"/>
  <c r="E371" i="1" s="1"/>
  <c r="B371" i="1"/>
  <c r="C371" i="1" s="1"/>
  <c r="G370" i="1"/>
  <c r="F370" i="1"/>
  <c r="D370" i="1"/>
  <c r="E370" i="1" s="1"/>
  <c r="B370" i="1"/>
  <c r="C370" i="1" s="1"/>
  <c r="G369" i="1"/>
  <c r="F369" i="1"/>
  <c r="D369" i="1"/>
  <c r="E369" i="1" s="1"/>
  <c r="B369" i="1"/>
  <c r="C369" i="1" s="1"/>
  <c r="G368" i="1"/>
  <c r="F368" i="1"/>
  <c r="D368" i="1"/>
  <c r="E368" i="1" s="1"/>
  <c r="B368" i="1"/>
  <c r="C368" i="1" s="1"/>
  <c r="G367" i="1"/>
  <c r="F367" i="1"/>
  <c r="D367" i="1"/>
  <c r="E367" i="1" s="1"/>
  <c r="B367" i="1"/>
  <c r="C367" i="1" s="1"/>
  <c r="G366" i="1"/>
  <c r="F366" i="1"/>
  <c r="D366" i="1"/>
  <c r="E366" i="1" s="1"/>
  <c r="B366" i="1"/>
  <c r="C366" i="1" s="1"/>
  <c r="G365" i="1"/>
  <c r="F365" i="1"/>
  <c r="D365" i="1"/>
  <c r="E365" i="1" s="1"/>
  <c r="B365" i="1"/>
  <c r="C365" i="1" s="1"/>
  <c r="G364" i="1"/>
  <c r="F364" i="1"/>
  <c r="D364" i="1"/>
  <c r="E364" i="1" s="1"/>
  <c r="B364" i="1"/>
  <c r="C364" i="1" s="1"/>
  <c r="G363" i="1"/>
  <c r="F363" i="1"/>
  <c r="D363" i="1"/>
  <c r="E363" i="1" s="1"/>
  <c r="B363" i="1"/>
  <c r="C363" i="1" s="1"/>
  <c r="G362" i="1"/>
  <c r="F362" i="1"/>
  <c r="D362" i="1"/>
  <c r="E362" i="1" s="1"/>
  <c r="B362" i="1"/>
  <c r="C362" i="1" s="1"/>
  <c r="G361" i="1"/>
  <c r="F361" i="1"/>
  <c r="D361" i="1"/>
  <c r="E361" i="1" s="1"/>
  <c r="B361" i="1"/>
  <c r="C361" i="1" s="1"/>
  <c r="G360" i="1"/>
  <c r="F360" i="1"/>
  <c r="D360" i="1"/>
  <c r="E360" i="1" s="1"/>
  <c r="B360" i="1"/>
  <c r="C360" i="1" s="1"/>
  <c r="G359" i="1"/>
  <c r="F359" i="1"/>
  <c r="D359" i="1"/>
  <c r="E359" i="1" s="1"/>
  <c r="B359" i="1"/>
  <c r="C359" i="1" s="1"/>
  <c r="G358" i="1"/>
  <c r="F358" i="1"/>
  <c r="D358" i="1"/>
  <c r="E358" i="1" s="1"/>
  <c r="B358" i="1"/>
  <c r="C358" i="1" s="1"/>
  <c r="G357" i="1"/>
  <c r="F357" i="1"/>
  <c r="D357" i="1"/>
  <c r="E357" i="1" s="1"/>
  <c r="B357" i="1"/>
  <c r="C357" i="1" s="1"/>
  <c r="G356" i="1"/>
  <c r="F356" i="1"/>
  <c r="D356" i="1"/>
  <c r="E356" i="1" s="1"/>
  <c r="B356" i="1"/>
  <c r="C356" i="1" s="1"/>
  <c r="G355" i="1"/>
  <c r="F355" i="1"/>
  <c r="D355" i="1"/>
  <c r="E355" i="1" s="1"/>
  <c r="B355" i="1"/>
  <c r="C355" i="1" s="1"/>
  <c r="G354" i="1"/>
  <c r="F354" i="1"/>
  <c r="D354" i="1"/>
  <c r="E354" i="1" s="1"/>
  <c r="B354" i="1"/>
  <c r="C354" i="1" s="1"/>
  <c r="G353" i="1"/>
  <c r="F353" i="1"/>
  <c r="D353" i="1"/>
  <c r="E353" i="1" s="1"/>
  <c r="B353" i="1"/>
  <c r="C353" i="1" s="1"/>
  <c r="G352" i="1"/>
  <c r="F352" i="1"/>
  <c r="D352" i="1"/>
  <c r="E352" i="1" s="1"/>
  <c r="B352" i="1"/>
  <c r="C352" i="1" s="1"/>
  <c r="G351" i="1"/>
  <c r="F351" i="1"/>
  <c r="D351" i="1"/>
  <c r="E351" i="1" s="1"/>
  <c r="B351" i="1"/>
  <c r="C351" i="1" s="1"/>
  <c r="G350" i="1"/>
  <c r="F350" i="1"/>
  <c r="D350" i="1"/>
  <c r="E350" i="1" s="1"/>
  <c r="B350" i="1"/>
  <c r="C350" i="1" s="1"/>
  <c r="G349" i="1"/>
  <c r="F349" i="1"/>
  <c r="D349" i="1"/>
  <c r="E349" i="1" s="1"/>
  <c r="B349" i="1"/>
  <c r="C349" i="1" s="1"/>
  <c r="G348" i="1"/>
  <c r="F348" i="1"/>
  <c r="D348" i="1"/>
  <c r="E348" i="1" s="1"/>
  <c r="B348" i="1"/>
  <c r="C348" i="1" s="1"/>
  <c r="G347" i="1"/>
  <c r="F347" i="1"/>
  <c r="D347" i="1"/>
  <c r="E347" i="1" s="1"/>
  <c r="B347" i="1"/>
  <c r="C347" i="1" s="1"/>
  <c r="G346" i="1"/>
  <c r="F346" i="1"/>
  <c r="D346" i="1"/>
  <c r="E346" i="1" s="1"/>
  <c r="B346" i="1"/>
  <c r="C346" i="1" s="1"/>
  <c r="G345" i="1"/>
  <c r="F345" i="1"/>
  <c r="D345" i="1"/>
  <c r="E345" i="1" s="1"/>
  <c r="B345" i="1"/>
  <c r="C345" i="1" s="1"/>
  <c r="G344" i="1"/>
  <c r="F344" i="1"/>
  <c r="D344" i="1"/>
  <c r="E344" i="1" s="1"/>
  <c r="B344" i="1"/>
  <c r="C344" i="1" s="1"/>
  <c r="G343" i="1"/>
  <c r="F343" i="1"/>
  <c r="D343" i="1"/>
  <c r="E343" i="1" s="1"/>
  <c r="B343" i="1"/>
  <c r="C343" i="1" s="1"/>
  <c r="G342" i="1"/>
  <c r="F342" i="1"/>
  <c r="D342" i="1"/>
  <c r="E342" i="1" s="1"/>
  <c r="B342" i="1"/>
  <c r="C342" i="1" s="1"/>
  <c r="G341" i="1"/>
  <c r="F341" i="1"/>
  <c r="D341" i="1"/>
  <c r="E341" i="1" s="1"/>
  <c r="B341" i="1"/>
  <c r="C341" i="1" s="1"/>
  <c r="G340" i="1"/>
  <c r="F340" i="1"/>
  <c r="D340" i="1"/>
  <c r="E340" i="1" s="1"/>
  <c r="B340" i="1"/>
  <c r="C340" i="1" s="1"/>
  <c r="G339" i="1"/>
  <c r="F339" i="1"/>
  <c r="D339" i="1"/>
  <c r="E339" i="1" s="1"/>
  <c r="B339" i="1"/>
  <c r="C339" i="1" s="1"/>
  <c r="G338" i="1"/>
  <c r="F338" i="1"/>
  <c r="D338" i="1"/>
  <c r="E338" i="1" s="1"/>
  <c r="B338" i="1"/>
  <c r="C338" i="1" s="1"/>
  <c r="G337" i="1"/>
  <c r="F337" i="1"/>
  <c r="D337" i="1"/>
  <c r="E337" i="1" s="1"/>
  <c r="B337" i="1"/>
  <c r="C337" i="1" s="1"/>
  <c r="G336" i="1"/>
  <c r="F336" i="1"/>
  <c r="D336" i="1"/>
  <c r="E336" i="1" s="1"/>
  <c r="B336" i="1"/>
  <c r="C336" i="1" s="1"/>
  <c r="G335" i="1"/>
  <c r="F335" i="1"/>
  <c r="D335" i="1"/>
  <c r="E335" i="1" s="1"/>
  <c r="B335" i="1"/>
  <c r="C335" i="1" s="1"/>
  <c r="G334" i="1"/>
  <c r="F334" i="1"/>
  <c r="D334" i="1"/>
  <c r="E334" i="1" s="1"/>
  <c r="B334" i="1"/>
  <c r="C334" i="1" s="1"/>
  <c r="G333" i="1"/>
  <c r="F333" i="1"/>
  <c r="D333" i="1"/>
  <c r="E333" i="1" s="1"/>
  <c r="B333" i="1"/>
  <c r="C333" i="1" s="1"/>
  <c r="G332" i="1"/>
  <c r="F332" i="1"/>
  <c r="D332" i="1"/>
  <c r="E332" i="1" s="1"/>
  <c r="B332" i="1"/>
  <c r="C332" i="1" s="1"/>
  <c r="G331" i="1"/>
  <c r="F331" i="1"/>
  <c r="D331" i="1"/>
  <c r="E331" i="1" s="1"/>
  <c r="B331" i="1"/>
  <c r="C331" i="1" s="1"/>
  <c r="G330" i="1"/>
  <c r="F330" i="1"/>
  <c r="D330" i="1"/>
  <c r="E330" i="1" s="1"/>
  <c r="B330" i="1"/>
  <c r="C330" i="1" s="1"/>
  <c r="G329" i="1"/>
  <c r="F329" i="1"/>
  <c r="D329" i="1"/>
  <c r="E329" i="1" s="1"/>
  <c r="B329" i="1"/>
  <c r="C329" i="1" s="1"/>
  <c r="G328" i="1"/>
  <c r="F328" i="1"/>
  <c r="D328" i="1"/>
  <c r="E328" i="1" s="1"/>
  <c r="B328" i="1"/>
  <c r="C328" i="1" s="1"/>
  <c r="G327" i="1"/>
  <c r="F327" i="1"/>
  <c r="D327" i="1"/>
  <c r="E327" i="1" s="1"/>
  <c r="B327" i="1"/>
  <c r="C327" i="1" s="1"/>
  <c r="G326" i="1"/>
  <c r="F326" i="1"/>
  <c r="D326" i="1"/>
  <c r="E326" i="1" s="1"/>
  <c r="B326" i="1"/>
  <c r="C326" i="1" s="1"/>
  <c r="G325" i="1"/>
  <c r="F325" i="1"/>
  <c r="D325" i="1"/>
  <c r="E325" i="1" s="1"/>
  <c r="B325" i="1"/>
  <c r="C325" i="1" s="1"/>
  <c r="G324" i="1"/>
  <c r="F324" i="1"/>
  <c r="D324" i="1"/>
  <c r="E324" i="1" s="1"/>
  <c r="B324" i="1"/>
  <c r="C324" i="1" s="1"/>
  <c r="G323" i="1"/>
  <c r="F323" i="1"/>
  <c r="D323" i="1"/>
  <c r="E323" i="1" s="1"/>
  <c r="B323" i="1"/>
  <c r="C323" i="1" s="1"/>
  <c r="G322" i="1"/>
  <c r="F322" i="1"/>
  <c r="D322" i="1"/>
  <c r="E322" i="1" s="1"/>
  <c r="B322" i="1"/>
  <c r="C322" i="1" s="1"/>
  <c r="G321" i="1"/>
  <c r="F321" i="1"/>
  <c r="D321" i="1"/>
  <c r="E321" i="1" s="1"/>
  <c r="B321" i="1"/>
  <c r="C321" i="1" s="1"/>
  <c r="G320" i="1"/>
  <c r="F320" i="1"/>
  <c r="D320" i="1"/>
  <c r="E320" i="1" s="1"/>
  <c r="B320" i="1"/>
  <c r="C320" i="1" s="1"/>
  <c r="G319" i="1"/>
  <c r="F319" i="1"/>
  <c r="D319" i="1"/>
  <c r="E319" i="1" s="1"/>
  <c r="B319" i="1"/>
  <c r="C319" i="1" s="1"/>
  <c r="G318" i="1"/>
  <c r="F318" i="1"/>
  <c r="D318" i="1"/>
  <c r="E318" i="1" s="1"/>
  <c r="B318" i="1"/>
  <c r="C318" i="1" s="1"/>
  <c r="G317" i="1"/>
  <c r="F317" i="1"/>
  <c r="D317" i="1"/>
  <c r="E317" i="1" s="1"/>
  <c r="B317" i="1"/>
  <c r="C317" i="1" s="1"/>
  <c r="G316" i="1"/>
  <c r="F316" i="1"/>
  <c r="D316" i="1"/>
  <c r="E316" i="1" s="1"/>
  <c r="B316" i="1"/>
  <c r="C316" i="1" s="1"/>
  <c r="G315" i="1"/>
  <c r="F315" i="1"/>
  <c r="D315" i="1"/>
  <c r="E315" i="1" s="1"/>
  <c r="B315" i="1"/>
  <c r="C315" i="1" s="1"/>
  <c r="G314" i="1"/>
  <c r="F314" i="1"/>
  <c r="D314" i="1"/>
  <c r="E314" i="1" s="1"/>
  <c r="B314" i="1"/>
  <c r="C314" i="1" s="1"/>
  <c r="G313" i="1"/>
  <c r="F313" i="1"/>
  <c r="D313" i="1"/>
  <c r="E313" i="1" s="1"/>
  <c r="B313" i="1"/>
  <c r="C313" i="1" s="1"/>
  <c r="G312" i="1"/>
  <c r="F312" i="1"/>
  <c r="D312" i="1"/>
  <c r="E312" i="1" s="1"/>
  <c r="B312" i="1"/>
  <c r="C312" i="1" s="1"/>
  <c r="G311" i="1"/>
  <c r="F311" i="1"/>
  <c r="D311" i="1"/>
  <c r="E311" i="1" s="1"/>
  <c r="B311" i="1"/>
  <c r="C311" i="1" s="1"/>
  <c r="G310" i="1"/>
  <c r="F310" i="1"/>
  <c r="D310" i="1"/>
  <c r="E310" i="1" s="1"/>
  <c r="B310" i="1"/>
  <c r="C310" i="1" s="1"/>
  <c r="G309" i="1"/>
  <c r="F309" i="1"/>
  <c r="D309" i="1"/>
  <c r="E309" i="1" s="1"/>
  <c r="B309" i="1"/>
  <c r="C309" i="1" s="1"/>
  <c r="G308" i="1"/>
  <c r="F308" i="1"/>
  <c r="D308" i="1"/>
  <c r="E308" i="1" s="1"/>
  <c r="B308" i="1"/>
  <c r="C308" i="1" s="1"/>
  <c r="G307" i="1"/>
  <c r="F307" i="1"/>
  <c r="D307" i="1"/>
  <c r="E307" i="1" s="1"/>
  <c r="B307" i="1"/>
  <c r="C307" i="1" s="1"/>
  <c r="G306" i="1"/>
  <c r="F306" i="1"/>
  <c r="D306" i="1"/>
  <c r="E306" i="1" s="1"/>
  <c r="B306" i="1"/>
  <c r="C306" i="1" s="1"/>
  <c r="G305" i="1"/>
  <c r="F305" i="1"/>
  <c r="D305" i="1"/>
  <c r="E305" i="1" s="1"/>
  <c r="B305" i="1"/>
  <c r="C305" i="1" s="1"/>
  <c r="G304" i="1"/>
  <c r="F304" i="1"/>
  <c r="D304" i="1"/>
  <c r="E304" i="1" s="1"/>
  <c r="B304" i="1"/>
  <c r="C304" i="1" s="1"/>
  <c r="G303" i="1"/>
  <c r="F303" i="1"/>
  <c r="D303" i="1"/>
  <c r="E303" i="1" s="1"/>
  <c r="B303" i="1"/>
  <c r="C303" i="1" s="1"/>
  <c r="G302" i="1"/>
  <c r="F302" i="1"/>
  <c r="D302" i="1"/>
  <c r="E302" i="1" s="1"/>
  <c r="B302" i="1"/>
  <c r="C302" i="1" s="1"/>
  <c r="G301" i="1"/>
  <c r="F301" i="1"/>
  <c r="D301" i="1"/>
  <c r="E301" i="1" s="1"/>
  <c r="B301" i="1"/>
  <c r="C301" i="1" s="1"/>
  <c r="G300" i="1"/>
  <c r="F300" i="1"/>
  <c r="D300" i="1"/>
  <c r="E300" i="1" s="1"/>
  <c r="B300" i="1"/>
  <c r="C300" i="1" s="1"/>
  <c r="G299" i="1"/>
  <c r="F299" i="1"/>
  <c r="D299" i="1"/>
  <c r="E299" i="1" s="1"/>
  <c r="B299" i="1"/>
  <c r="C299" i="1" s="1"/>
  <c r="G298" i="1"/>
  <c r="F298" i="1"/>
  <c r="D298" i="1"/>
  <c r="E298" i="1" s="1"/>
  <c r="B298" i="1"/>
  <c r="C298" i="1" s="1"/>
  <c r="G297" i="1"/>
  <c r="F297" i="1"/>
  <c r="D297" i="1"/>
  <c r="E297" i="1" s="1"/>
  <c r="B297" i="1"/>
  <c r="C297" i="1" s="1"/>
  <c r="G296" i="1"/>
  <c r="F296" i="1"/>
  <c r="D296" i="1"/>
  <c r="E296" i="1" s="1"/>
  <c r="B296" i="1"/>
  <c r="C296" i="1" s="1"/>
  <c r="G295" i="1"/>
  <c r="F295" i="1"/>
  <c r="D295" i="1"/>
  <c r="E295" i="1" s="1"/>
  <c r="B295" i="1"/>
  <c r="C295" i="1" s="1"/>
  <c r="G294" i="1"/>
  <c r="F294" i="1"/>
  <c r="D294" i="1"/>
  <c r="E294" i="1" s="1"/>
  <c r="B294" i="1"/>
  <c r="C294" i="1" s="1"/>
  <c r="G293" i="1"/>
  <c r="F293" i="1"/>
  <c r="D293" i="1"/>
  <c r="E293" i="1" s="1"/>
  <c r="B293" i="1"/>
  <c r="C293" i="1" s="1"/>
  <c r="G292" i="1"/>
  <c r="F292" i="1"/>
  <c r="D292" i="1"/>
  <c r="E292" i="1" s="1"/>
  <c r="B292" i="1"/>
  <c r="C292" i="1" s="1"/>
  <c r="G291" i="1"/>
  <c r="F291" i="1"/>
  <c r="D291" i="1"/>
  <c r="E291" i="1" s="1"/>
  <c r="B291" i="1"/>
  <c r="C291" i="1" s="1"/>
  <c r="G290" i="1"/>
  <c r="F290" i="1"/>
  <c r="D290" i="1"/>
  <c r="E290" i="1" s="1"/>
  <c r="B290" i="1"/>
  <c r="C290" i="1" s="1"/>
  <c r="G289" i="1"/>
  <c r="F289" i="1"/>
  <c r="D289" i="1"/>
  <c r="E289" i="1" s="1"/>
  <c r="B289" i="1"/>
  <c r="C289" i="1" s="1"/>
  <c r="G288" i="1"/>
  <c r="F288" i="1"/>
  <c r="D288" i="1"/>
  <c r="E288" i="1" s="1"/>
  <c r="B288" i="1"/>
  <c r="C288" i="1" s="1"/>
  <c r="G287" i="1"/>
  <c r="F287" i="1"/>
  <c r="D287" i="1"/>
  <c r="E287" i="1" s="1"/>
  <c r="B287" i="1"/>
  <c r="C287" i="1" s="1"/>
  <c r="G286" i="1"/>
  <c r="F286" i="1"/>
  <c r="D286" i="1"/>
  <c r="E286" i="1" s="1"/>
  <c r="B286" i="1"/>
  <c r="C286" i="1" s="1"/>
  <c r="G285" i="1"/>
  <c r="F285" i="1"/>
  <c r="D285" i="1"/>
  <c r="E285" i="1" s="1"/>
  <c r="B285" i="1"/>
  <c r="C285" i="1" s="1"/>
  <c r="G284" i="1"/>
  <c r="F284" i="1"/>
  <c r="D284" i="1"/>
  <c r="E284" i="1" s="1"/>
  <c r="B284" i="1"/>
  <c r="C284" i="1" s="1"/>
  <c r="G283" i="1"/>
  <c r="F283" i="1"/>
  <c r="D283" i="1"/>
  <c r="E283" i="1" s="1"/>
  <c r="B283" i="1"/>
  <c r="C283" i="1" s="1"/>
  <c r="G282" i="1"/>
  <c r="F282" i="1"/>
  <c r="D282" i="1"/>
  <c r="E282" i="1" s="1"/>
  <c r="B282" i="1"/>
  <c r="C282" i="1" s="1"/>
  <c r="G281" i="1"/>
  <c r="F281" i="1"/>
  <c r="D281" i="1"/>
  <c r="E281" i="1" s="1"/>
  <c r="B281" i="1"/>
  <c r="C281" i="1" s="1"/>
  <c r="G280" i="1"/>
  <c r="F280" i="1"/>
  <c r="D280" i="1"/>
  <c r="E280" i="1" s="1"/>
  <c r="B280" i="1"/>
  <c r="C280" i="1" s="1"/>
  <c r="G279" i="1"/>
  <c r="F279" i="1"/>
  <c r="D279" i="1"/>
  <c r="E279" i="1" s="1"/>
  <c r="B279" i="1"/>
  <c r="C279" i="1" s="1"/>
  <c r="G278" i="1"/>
  <c r="F278" i="1"/>
  <c r="D278" i="1"/>
  <c r="E278" i="1" s="1"/>
  <c r="B278" i="1"/>
  <c r="C278" i="1" s="1"/>
  <c r="G277" i="1"/>
  <c r="F277" i="1"/>
  <c r="D277" i="1"/>
  <c r="E277" i="1" s="1"/>
  <c r="B277" i="1"/>
  <c r="C277" i="1" s="1"/>
  <c r="G276" i="1"/>
  <c r="F276" i="1"/>
  <c r="D276" i="1"/>
  <c r="E276" i="1" s="1"/>
  <c r="B276" i="1"/>
  <c r="C276" i="1" s="1"/>
  <c r="G275" i="1"/>
  <c r="F275" i="1"/>
  <c r="D275" i="1"/>
  <c r="E275" i="1" s="1"/>
  <c r="B275" i="1"/>
  <c r="C275" i="1" s="1"/>
  <c r="G274" i="1"/>
  <c r="F274" i="1"/>
  <c r="D274" i="1"/>
  <c r="E274" i="1" s="1"/>
  <c r="B274" i="1"/>
  <c r="C274" i="1" s="1"/>
  <c r="G273" i="1"/>
  <c r="F273" i="1"/>
  <c r="D273" i="1"/>
  <c r="E273" i="1" s="1"/>
  <c r="B273" i="1"/>
  <c r="C273" i="1" s="1"/>
  <c r="G272" i="1"/>
  <c r="F272" i="1"/>
  <c r="D272" i="1"/>
  <c r="E272" i="1" s="1"/>
  <c r="B272" i="1"/>
  <c r="C272" i="1" s="1"/>
  <c r="G271" i="1"/>
  <c r="F271" i="1"/>
  <c r="D271" i="1"/>
  <c r="E271" i="1" s="1"/>
  <c r="B271" i="1"/>
  <c r="C271" i="1" s="1"/>
  <c r="G270" i="1"/>
  <c r="F270" i="1"/>
  <c r="D270" i="1"/>
  <c r="E270" i="1" s="1"/>
  <c r="B270" i="1"/>
  <c r="C270" i="1" s="1"/>
  <c r="G269" i="1"/>
  <c r="F269" i="1"/>
  <c r="D269" i="1"/>
  <c r="E269" i="1" s="1"/>
  <c r="B269" i="1"/>
  <c r="C269" i="1" s="1"/>
  <c r="G268" i="1"/>
  <c r="F268" i="1"/>
  <c r="D268" i="1"/>
  <c r="E268" i="1" s="1"/>
  <c r="B268" i="1"/>
  <c r="C268" i="1" s="1"/>
  <c r="G267" i="1"/>
  <c r="F267" i="1"/>
  <c r="D267" i="1"/>
  <c r="E267" i="1" s="1"/>
  <c r="B267" i="1"/>
  <c r="C267" i="1" s="1"/>
  <c r="G266" i="1"/>
  <c r="F266" i="1"/>
  <c r="D266" i="1"/>
  <c r="E266" i="1" s="1"/>
  <c r="B266" i="1"/>
  <c r="C266" i="1" s="1"/>
  <c r="G265" i="1"/>
  <c r="F265" i="1"/>
  <c r="D265" i="1"/>
  <c r="E265" i="1" s="1"/>
  <c r="B265" i="1"/>
  <c r="C265" i="1" s="1"/>
  <c r="G264" i="1"/>
  <c r="F264" i="1"/>
  <c r="D264" i="1"/>
  <c r="E264" i="1" s="1"/>
  <c r="B264" i="1"/>
  <c r="C264" i="1" s="1"/>
  <c r="G263" i="1"/>
  <c r="F263" i="1"/>
  <c r="D263" i="1"/>
  <c r="E263" i="1" s="1"/>
  <c r="B263" i="1"/>
  <c r="C263" i="1" s="1"/>
  <c r="G262" i="1"/>
  <c r="F262" i="1"/>
  <c r="D262" i="1"/>
  <c r="E262" i="1" s="1"/>
  <c r="B262" i="1"/>
  <c r="C262" i="1" s="1"/>
  <c r="G261" i="1"/>
  <c r="F261" i="1"/>
  <c r="D261" i="1"/>
  <c r="E261" i="1" s="1"/>
  <c r="B261" i="1"/>
  <c r="C261" i="1" s="1"/>
  <c r="G260" i="1"/>
  <c r="F260" i="1"/>
  <c r="D260" i="1"/>
  <c r="E260" i="1" s="1"/>
  <c r="B260" i="1"/>
  <c r="C260" i="1" s="1"/>
  <c r="G259" i="1"/>
  <c r="F259" i="1"/>
  <c r="D259" i="1"/>
  <c r="E259" i="1" s="1"/>
  <c r="B259" i="1"/>
  <c r="C259" i="1" s="1"/>
  <c r="G258" i="1"/>
  <c r="F258" i="1"/>
  <c r="D258" i="1"/>
  <c r="E258" i="1" s="1"/>
  <c r="B258" i="1"/>
  <c r="C258" i="1" s="1"/>
  <c r="G257" i="1"/>
  <c r="F257" i="1"/>
  <c r="D257" i="1"/>
  <c r="E257" i="1" s="1"/>
  <c r="B257" i="1"/>
  <c r="C257" i="1" s="1"/>
  <c r="G256" i="1"/>
  <c r="F256" i="1"/>
  <c r="D256" i="1"/>
  <c r="E256" i="1" s="1"/>
  <c r="B256" i="1"/>
  <c r="C256" i="1" s="1"/>
  <c r="G255" i="1"/>
  <c r="F255" i="1"/>
  <c r="D255" i="1"/>
  <c r="E255" i="1" s="1"/>
  <c r="B255" i="1"/>
  <c r="C255" i="1" s="1"/>
  <c r="G254" i="1"/>
  <c r="F254" i="1"/>
  <c r="D254" i="1"/>
  <c r="E254" i="1" s="1"/>
  <c r="B254" i="1"/>
  <c r="C254" i="1" s="1"/>
  <c r="G253" i="1"/>
  <c r="F253" i="1"/>
  <c r="D253" i="1"/>
  <c r="E253" i="1" s="1"/>
  <c r="B253" i="1"/>
  <c r="C253" i="1" s="1"/>
  <c r="G252" i="1"/>
  <c r="F252" i="1"/>
  <c r="D252" i="1"/>
  <c r="E252" i="1" s="1"/>
  <c r="B252" i="1"/>
  <c r="C252" i="1" s="1"/>
  <c r="G251" i="1"/>
  <c r="F251" i="1"/>
  <c r="D251" i="1"/>
  <c r="E251" i="1" s="1"/>
  <c r="B251" i="1"/>
  <c r="C251" i="1" s="1"/>
  <c r="G250" i="1"/>
  <c r="F250" i="1"/>
  <c r="D250" i="1"/>
  <c r="E250" i="1" s="1"/>
  <c r="B250" i="1"/>
  <c r="C250" i="1" s="1"/>
  <c r="G249" i="1"/>
  <c r="F249" i="1"/>
  <c r="D249" i="1"/>
  <c r="E249" i="1" s="1"/>
  <c r="B249" i="1"/>
  <c r="C249" i="1" s="1"/>
  <c r="G248" i="1"/>
  <c r="F248" i="1"/>
  <c r="D248" i="1"/>
  <c r="E248" i="1" s="1"/>
  <c r="B248" i="1"/>
  <c r="C248" i="1" s="1"/>
  <c r="G247" i="1"/>
  <c r="F247" i="1"/>
  <c r="D247" i="1"/>
  <c r="E247" i="1" s="1"/>
  <c r="B247" i="1"/>
  <c r="C247" i="1" s="1"/>
  <c r="G246" i="1"/>
  <c r="F246" i="1"/>
  <c r="D246" i="1"/>
  <c r="E246" i="1" s="1"/>
  <c r="B246" i="1"/>
  <c r="C246" i="1" s="1"/>
  <c r="G245" i="1"/>
  <c r="F245" i="1"/>
  <c r="D245" i="1"/>
  <c r="E245" i="1" s="1"/>
  <c r="B245" i="1"/>
  <c r="C245" i="1" s="1"/>
  <c r="G244" i="1"/>
  <c r="F244" i="1"/>
  <c r="D244" i="1"/>
  <c r="E244" i="1" s="1"/>
  <c r="B244" i="1"/>
  <c r="C244" i="1" s="1"/>
  <c r="G243" i="1"/>
  <c r="F243" i="1"/>
  <c r="D243" i="1"/>
  <c r="E243" i="1" s="1"/>
  <c r="B243" i="1"/>
  <c r="C243" i="1" s="1"/>
  <c r="G242" i="1"/>
  <c r="F242" i="1"/>
  <c r="D242" i="1"/>
  <c r="E242" i="1" s="1"/>
  <c r="B242" i="1"/>
  <c r="C242" i="1" s="1"/>
  <c r="G241" i="1"/>
  <c r="F241" i="1"/>
  <c r="D241" i="1"/>
  <c r="E241" i="1" s="1"/>
  <c r="B241" i="1"/>
  <c r="C241" i="1" s="1"/>
  <c r="G240" i="1"/>
  <c r="F240" i="1"/>
  <c r="D240" i="1"/>
  <c r="E240" i="1" s="1"/>
  <c r="B240" i="1"/>
  <c r="C240" i="1" s="1"/>
  <c r="G239" i="1"/>
  <c r="F239" i="1"/>
  <c r="D239" i="1"/>
  <c r="E239" i="1" s="1"/>
  <c r="B239" i="1"/>
  <c r="C239" i="1" s="1"/>
  <c r="G238" i="1"/>
  <c r="F238" i="1"/>
  <c r="D238" i="1"/>
  <c r="E238" i="1" s="1"/>
  <c r="B238" i="1"/>
  <c r="C238" i="1" s="1"/>
  <c r="G237" i="1"/>
  <c r="F237" i="1"/>
  <c r="D237" i="1"/>
  <c r="E237" i="1" s="1"/>
  <c r="B237" i="1"/>
  <c r="C237" i="1" s="1"/>
  <c r="G236" i="1"/>
  <c r="F236" i="1"/>
  <c r="D236" i="1"/>
  <c r="E236" i="1" s="1"/>
  <c r="B236" i="1"/>
  <c r="C236" i="1" s="1"/>
  <c r="G235" i="1"/>
  <c r="F235" i="1"/>
  <c r="D235" i="1"/>
  <c r="E235" i="1" s="1"/>
  <c r="B235" i="1"/>
  <c r="C235" i="1" s="1"/>
  <c r="G234" i="1"/>
  <c r="F234" i="1"/>
  <c r="D234" i="1"/>
  <c r="E234" i="1" s="1"/>
  <c r="B234" i="1"/>
  <c r="C234" i="1" s="1"/>
  <c r="G233" i="1"/>
  <c r="F233" i="1"/>
  <c r="D233" i="1"/>
  <c r="E233" i="1" s="1"/>
  <c r="B233" i="1"/>
  <c r="C233" i="1" s="1"/>
  <c r="G232" i="1"/>
  <c r="F232" i="1"/>
  <c r="D232" i="1"/>
  <c r="E232" i="1" s="1"/>
  <c r="B232" i="1"/>
  <c r="C232" i="1" s="1"/>
  <c r="G231" i="1"/>
  <c r="F231" i="1"/>
  <c r="D231" i="1"/>
  <c r="E231" i="1" s="1"/>
  <c r="B231" i="1"/>
  <c r="C231" i="1" s="1"/>
  <c r="G230" i="1"/>
  <c r="F230" i="1"/>
  <c r="D230" i="1"/>
  <c r="E230" i="1" s="1"/>
  <c r="B230" i="1"/>
  <c r="C230" i="1" s="1"/>
  <c r="G229" i="1"/>
  <c r="F229" i="1"/>
  <c r="D229" i="1"/>
  <c r="E229" i="1" s="1"/>
  <c r="B229" i="1"/>
  <c r="C229" i="1" s="1"/>
  <c r="G228" i="1"/>
  <c r="F228" i="1"/>
  <c r="D228" i="1"/>
  <c r="E228" i="1" s="1"/>
  <c r="B228" i="1"/>
  <c r="C228" i="1" s="1"/>
  <c r="G227" i="1"/>
  <c r="F227" i="1"/>
  <c r="D227" i="1"/>
  <c r="E227" i="1" s="1"/>
  <c r="B227" i="1"/>
  <c r="C227" i="1" s="1"/>
  <c r="G226" i="1"/>
  <c r="F226" i="1"/>
  <c r="D226" i="1"/>
  <c r="E226" i="1" s="1"/>
  <c r="B226" i="1"/>
  <c r="C226" i="1" s="1"/>
  <c r="G225" i="1"/>
  <c r="F225" i="1"/>
  <c r="D225" i="1"/>
  <c r="E225" i="1" s="1"/>
  <c r="B225" i="1"/>
  <c r="C225" i="1" s="1"/>
  <c r="G224" i="1"/>
  <c r="F224" i="1"/>
  <c r="D224" i="1"/>
  <c r="E224" i="1" s="1"/>
  <c r="B224" i="1"/>
  <c r="C224" i="1" s="1"/>
  <c r="G223" i="1"/>
  <c r="F223" i="1"/>
  <c r="D223" i="1"/>
  <c r="E223" i="1" s="1"/>
  <c r="B223" i="1"/>
  <c r="C223" i="1" s="1"/>
  <c r="G222" i="1"/>
  <c r="F222" i="1"/>
  <c r="D222" i="1"/>
  <c r="E222" i="1" s="1"/>
  <c r="B222" i="1"/>
  <c r="C222" i="1" s="1"/>
  <c r="G221" i="1"/>
  <c r="F221" i="1"/>
  <c r="D221" i="1"/>
  <c r="E221" i="1" s="1"/>
  <c r="B221" i="1"/>
  <c r="C221" i="1" s="1"/>
  <c r="G220" i="1"/>
  <c r="F220" i="1"/>
  <c r="D220" i="1"/>
  <c r="E220" i="1" s="1"/>
  <c r="B220" i="1"/>
  <c r="C220" i="1" s="1"/>
  <c r="G219" i="1"/>
  <c r="F219" i="1"/>
  <c r="D219" i="1"/>
  <c r="E219" i="1" s="1"/>
  <c r="B219" i="1"/>
  <c r="C219" i="1" s="1"/>
  <c r="G218" i="1"/>
  <c r="F218" i="1"/>
  <c r="D218" i="1"/>
  <c r="E218" i="1" s="1"/>
  <c r="B218" i="1"/>
  <c r="C218" i="1" s="1"/>
  <c r="G217" i="1"/>
  <c r="F217" i="1"/>
  <c r="D217" i="1"/>
  <c r="E217" i="1" s="1"/>
  <c r="B217" i="1"/>
  <c r="C217" i="1" s="1"/>
  <c r="G216" i="1"/>
  <c r="F216" i="1"/>
  <c r="D216" i="1"/>
  <c r="E216" i="1" s="1"/>
  <c r="B216" i="1"/>
  <c r="C216" i="1" s="1"/>
  <c r="G215" i="1"/>
  <c r="F215" i="1"/>
  <c r="D215" i="1"/>
  <c r="E215" i="1" s="1"/>
  <c r="B215" i="1"/>
  <c r="C215" i="1" s="1"/>
  <c r="G214" i="1"/>
  <c r="F214" i="1"/>
  <c r="D214" i="1"/>
  <c r="E214" i="1" s="1"/>
  <c r="B214" i="1"/>
  <c r="C214" i="1" s="1"/>
  <c r="G213" i="1"/>
  <c r="F213" i="1"/>
  <c r="D213" i="1"/>
  <c r="E213" i="1" s="1"/>
  <c r="B213" i="1"/>
  <c r="C213" i="1" s="1"/>
  <c r="G212" i="1"/>
  <c r="F212" i="1"/>
  <c r="D212" i="1"/>
  <c r="E212" i="1" s="1"/>
  <c r="B212" i="1"/>
  <c r="C212" i="1" s="1"/>
  <c r="G211" i="1"/>
  <c r="F211" i="1"/>
  <c r="D211" i="1"/>
  <c r="E211" i="1" s="1"/>
  <c r="B211" i="1"/>
  <c r="C211" i="1" s="1"/>
  <c r="G210" i="1"/>
  <c r="F210" i="1"/>
  <c r="D210" i="1"/>
  <c r="E210" i="1" s="1"/>
  <c r="B210" i="1"/>
  <c r="C210" i="1" s="1"/>
  <c r="G209" i="1"/>
  <c r="F209" i="1"/>
  <c r="D209" i="1"/>
  <c r="E209" i="1" s="1"/>
  <c r="B209" i="1"/>
  <c r="C209" i="1" s="1"/>
  <c r="G208" i="1"/>
  <c r="F208" i="1"/>
  <c r="D208" i="1"/>
  <c r="E208" i="1" s="1"/>
  <c r="B208" i="1"/>
  <c r="C208" i="1" s="1"/>
  <c r="G207" i="1"/>
  <c r="F207" i="1"/>
  <c r="D207" i="1"/>
  <c r="E207" i="1" s="1"/>
  <c r="B207" i="1"/>
  <c r="C207" i="1" s="1"/>
  <c r="G206" i="1"/>
  <c r="F206" i="1"/>
  <c r="D206" i="1"/>
  <c r="E206" i="1" s="1"/>
  <c r="B206" i="1"/>
  <c r="C206" i="1" s="1"/>
  <c r="G205" i="1"/>
  <c r="F205" i="1"/>
  <c r="D205" i="1"/>
  <c r="E205" i="1" s="1"/>
  <c r="B205" i="1"/>
  <c r="C205" i="1" s="1"/>
  <c r="G204" i="1"/>
  <c r="F204" i="1"/>
  <c r="D204" i="1"/>
  <c r="E204" i="1" s="1"/>
  <c r="B204" i="1"/>
  <c r="C204" i="1" s="1"/>
  <c r="G203" i="1"/>
  <c r="F203" i="1"/>
  <c r="D203" i="1"/>
  <c r="E203" i="1" s="1"/>
  <c r="B203" i="1"/>
  <c r="C203" i="1" s="1"/>
  <c r="G202" i="1"/>
  <c r="F202" i="1"/>
  <c r="D202" i="1"/>
  <c r="E202" i="1" s="1"/>
  <c r="B202" i="1"/>
  <c r="C202" i="1" s="1"/>
  <c r="G201" i="1"/>
  <c r="F201" i="1"/>
  <c r="D201" i="1"/>
  <c r="E201" i="1" s="1"/>
  <c r="B201" i="1"/>
  <c r="C201" i="1" s="1"/>
  <c r="G200" i="1"/>
  <c r="F200" i="1"/>
  <c r="D200" i="1"/>
  <c r="E200" i="1" s="1"/>
  <c r="B200" i="1"/>
  <c r="C200" i="1" s="1"/>
  <c r="G199" i="1"/>
  <c r="F199" i="1"/>
  <c r="D199" i="1"/>
  <c r="E199" i="1" s="1"/>
  <c r="B199" i="1"/>
  <c r="C199" i="1" s="1"/>
  <c r="G198" i="1"/>
  <c r="F198" i="1"/>
  <c r="D198" i="1"/>
  <c r="E198" i="1" s="1"/>
  <c r="B198" i="1"/>
  <c r="C198" i="1" s="1"/>
  <c r="G197" i="1"/>
  <c r="F197" i="1"/>
  <c r="D197" i="1"/>
  <c r="E197" i="1" s="1"/>
  <c r="B197" i="1"/>
  <c r="C197" i="1" s="1"/>
  <c r="G196" i="1"/>
  <c r="F196" i="1"/>
  <c r="D196" i="1"/>
  <c r="E196" i="1" s="1"/>
  <c r="B196" i="1"/>
  <c r="C196" i="1" s="1"/>
  <c r="G195" i="1"/>
  <c r="F195" i="1"/>
  <c r="D195" i="1"/>
  <c r="E195" i="1" s="1"/>
  <c r="B195" i="1"/>
  <c r="C195" i="1" s="1"/>
  <c r="G194" i="1"/>
  <c r="F194" i="1"/>
  <c r="D194" i="1"/>
  <c r="E194" i="1" s="1"/>
  <c r="B194" i="1"/>
  <c r="C194" i="1" s="1"/>
  <c r="G193" i="1"/>
  <c r="F193" i="1"/>
  <c r="D193" i="1"/>
  <c r="E193" i="1" s="1"/>
  <c r="B193" i="1"/>
  <c r="C193" i="1" s="1"/>
  <c r="G192" i="1"/>
  <c r="F192" i="1"/>
  <c r="D192" i="1"/>
  <c r="E192" i="1" s="1"/>
  <c r="B192" i="1"/>
  <c r="C192" i="1" s="1"/>
  <c r="G191" i="1"/>
  <c r="F191" i="1"/>
  <c r="D191" i="1"/>
  <c r="E191" i="1" s="1"/>
  <c r="B191" i="1"/>
  <c r="C191" i="1" s="1"/>
  <c r="G190" i="1"/>
  <c r="F190" i="1"/>
  <c r="D190" i="1"/>
  <c r="E190" i="1" s="1"/>
  <c r="B190" i="1"/>
  <c r="C190" i="1" s="1"/>
  <c r="G189" i="1"/>
  <c r="F189" i="1"/>
  <c r="D189" i="1"/>
  <c r="E189" i="1" s="1"/>
  <c r="B189" i="1"/>
  <c r="C189" i="1" s="1"/>
  <c r="G188" i="1"/>
  <c r="F188" i="1"/>
  <c r="D188" i="1"/>
  <c r="E188" i="1" s="1"/>
  <c r="B188" i="1"/>
  <c r="C188" i="1" s="1"/>
  <c r="G187" i="1"/>
  <c r="F187" i="1"/>
  <c r="D187" i="1"/>
  <c r="E187" i="1" s="1"/>
  <c r="B187" i="1"/>
  <c r="C187" i="1" s="1"/>
  <c r="G186" i="1"/>
  <c r="F186" i="1"/>
  <c r="D186" i="1"/>
  <c r="E186" i="1" s="1"/>
  <c r="B186" i="1"/>
  <c r="C186" i="1" s="1"/>
  <c r="G185" i="1"/>
  <c r="F185" i="1"/>
  <c r="D185" i="1"/>
  <c r="E185" i="1" s="1"/>
  <c r="B185" i="1"/>
  <c r="C185" i="1" s="1"/>
  <c r="G184" i="1"/>
  <c r="F184" i="1"/>
  <c r="D184" i="1"/>
  <c r="E184" i="1" s="1"/>
  <c r="B184" i="1"/>
  <c r="C184" i="1" s="1"/>
  <c r="G183" i="1"/>
  <c r="F183" i="1"/>
  <c r="D183" i="1"/>
  <c r="E183" i="1" s="1"/>
  <c r="B183" i="1"/>
  <c r="C183" i="1" s="1"/>
  <c r="G182" i="1"/>
  <c r="F182" i="1"/>
  <c r="D182" i="1"/>
  <c r="E182" i="1" s="1"/>
  <c r="B182" i="1"/>
  <c r="C182" i="1" s="1"/>
  <c r="G181" i="1"/>
  <c r="F181" i="1"/>
  <c r="D181" i="1"/>
  <c r="E181" i="1" s="1"/>
  <c r="B181" i="1"/>
  <c r="C181" i="1" s="1"/>
  <c r="G180" i="1"/>
  <c r="F180" i="1"/>
  <c r="D180" i="1"/>
  <c r="E180" i="1" s="1"/>
  <c r="B180" i="1"/>
  <c r="C180" i="1" s="1"/>
  <c r="G179" i="1"/>
  <c r="F179" i="1"/>
  <c r="D179" i="1"/>
  <c r="E179" i="1" s="1"/>
  <c r="B179" i="1"/>
  <c r="C179" i="1" s="1"/>
  <c r="G178" i="1"/>
  <c r="F178" i="1"/>
  <c r="D178" i="1"/>
  <c r="E178" i="1" s="1"/>
  <c r="B178" i="1"/>
  <c r="C178" i="1" s="1"/>
  <c r="G177" i="1"/>
  <c r="F177" i="1"/>
  <c r="D177" i="1"/>
  <c r="E177" i="1" s="1"/>
  <c r="B177" i="1"/>
  <c r="C177" i="1" s="1"/>
  <c r="G176" i="1"/>
  <c r="F176" i="1"/>
  <c r="D176" i="1"/>
  <c r="E176" i="1" s="1"/>
  <c r="B176" i="1"/>
  <c r="C176" i="1" s="1"/>
  <c r="G175" i="1"/>
  <c r="F175" i="1"/>
  <c r="D175" i="1"/>
  <c r="E175" i="1" s="1"/>
  <c r="B175" i="1"/>
  <c r="C175" i="1" s="1"/>
  <c r="G174" i="1"/>
  <c r="F174" i="1"/>
  <c r="D174" i="1"/>
  <c r="E174" i="1" s="1"/>
  <c r="B174" i="1"/>
  <c r="C174" i="1" s="1"/>
  <c r="G173" i="1"/>
  <c r="F173" i="1"/>
  <c r="D173" i="1"/>
  <c r="E173" i="1" s="1"/>
  <c r="B173" i="1"/>
  <c r="C173" i="1" s="1"/>
  <c r="G172" i="1"/>
  <c r="F172" i="1"/>
  <c r="D172" i="1"/>
  <c r="E172" i="1" s="1"/>
  <c r="B172" i="1"/>
  <c r="C172" i="1" s="1"/>
  <c r="G171" i="1"/>
  <c r="F171" i="1"/>
  <c r="D171" i="1"/>
  <c r="E171" i="1" s="1"/>
  <c r="B171" i="1"/>
  <c r="C171" i="1" s="1"/>
  <c r="G170" i="1"/>
  <c r="F170" i="1"/>
  <c r="D170" i="1"/>
  <c r="E170" i="1" s="1"/>
  <c r="B170" i="1"/>
  <c r="C170" i="1" s="1"/>
  <c r="G169" i="1"/>
  <c r="F169" i="1"/>
  <c r="D169" i="1"/>
  <c r="E169" i="1" s="1"/>
  <c r="B169" i="1"/>
  <c r="C169" i="1" s="1"/>
  <c r="G168" i="1"/>
  <c r="F168" i="1"/>
  <c r="D168" i="1"/>
  <c r="E168" i="1" s="1"/>
  <c r="B168" i="1"/>
  <c r="C168" i="1" s="1"/>
  <c r="G167" i="1"/>
  <c r="F167" i="1"/>
  <c r="D167" i="1"/>
  <c r="E167" i="1" s="1"/>
  <c r="B167" i="1"/>
  <c r="C167" i="1" s="1"/>
  <c r="G166" i="1"/>
  <c r="F166" i="1"/>
  <c r="D166" i="1"/>
  <c r="E166" i="1" s="1"/>
  <c r="B166" i="1"/>
  <c r="C166" i="1" s="1"/>
  <c r="G165" i="1"/>
  <c r="F165" i="1"/>
  <c r="D165" i="1"/>
  <c r="E165" i="1" s="1"/>
  <c r="B165" i="1"/>
  <c r="C165" i="1" s="1"/>
  <c r="G164" i="1"/>
  <c r="F164" i="1"/>
  <c r="D164" i="1"/>
  <c r="E164" i="1" s="1"/>
  <c r="B164" i="1"/>
  <c r="C164" i="1" s="1"/>
  <c r="G163" i="1"/>
  <c r="F163" i="1"/>
  <c r="D163" i="1"/>
  <c r="E163" i="1" s="1"/>
  <c r="B163" i="1"/>
  <c r="C163" i="1" s="1"/>
  <c r="G162" i="1"/>
  <c r="F162" i="1"/>
  <c r="D162" i="1"/>
  <c r="E162" i="1" s="1"/>
  <c r="B162" i="1"/>
  <c r="C162" i="1" s="1"/>
  <c r="G161" i="1"/>
  <c r="F161" i="1"/>
  <c r="D161" i="1"/>
  <c r="E161" i="1" s="1"/>
  <c r="B161" i="1"/>
  <c r="C161" i="1" s="1"/>
  <c r="G160" i="1"/>
  <c r="F160" i="1"/>
  <c r="D160" i="1"/>
  <c r="E160" i="1" s="1"/>
  <c r="B160" i="1"/>
  <c r="C160" i="1" s="1"/>
  <c r="G159" i="1"/>
  <c r="F159" i="1"/>
  <c r="D159" i="1"/>
  <c r="E159" i="1" s="1"/>
  <c r="B159" i="1"/>
  <c r="C159" i="1" s="1"/>
  <c r="G158" i="1"/>
  <c r="F158" i="1"/>
  <c r="D158" i="1"/>
  <c r="E158" i="1" s="1"/>
  <c r="B158" i="1"/>
  <c r="C158" i="1" s="1"/>
  <c r="G157" i="1"/>
  <c r="F157" i="1"/>
  <c r="D157" i="1"/>
  <c r="E157" i="1" s="1"/>
  <c r="B157" i="1"/>
  <c r="C157" i="1" s="1"/>
  <c r="G156" i="1"/>
  <c r="F156" i="1"/>
  <c r="D156" i="1"/>
  <c r="E156" i="1" s="1"/>
  <c r="B156" i="1"/>
  <c r="C156" i="1" s="1"/>
  <c r="G155" i="1"/>
  <c r="F155" i="1"/>
  <c r="D155" i="1"/>
  <c r="E155" i="1" s="1"/>
  <c r="B155" i="1"/>
  <c r="C155" i="1" s="1"/>
  <c r="G154" i="1"/>
  <c r="F154" i="1"/>
  <c r="D154" i="1"/>
  <c r="E154" i="1" s="1"/>
  <c r="B154" i="1"/>
  <c r="C154" i="1" s="1"/>
  <c r="G153" i="1"/>
  <c r="F153" i="1"/>
  <c r="D153" i="1"/>
  <c r="E153" i="1" s="1"/>
  <c r="B153" i="1"/>
  <c r="C153" i="1" s="1"/>
  <c r="G152" i="1"/>
  <c r="F152" i="1"/>
  <c r="D152" i="1"/>
  <c r="E152" i="1" s="1"/>
  <c r="B152" i="1"/>
  <c r="C152" i="1" s="1"/>
  <c r="G151" i="1"/>
  <c r="F151" i="1"/>
  <c r="D151" i="1"/>
  <c r="E151" i="1" s="1"/>
  <c r="B151" i="1"/>
  <c r="C151" i="1" s="1"/>
  <c r="G150" i="1"/>
  <c r="F150" i="1"/>
  <c r="D150" i="1"/>
  <c r="E150" i="1" s="1"/>
  <c r="B150" i="1"/>
  <c r="C150" i="1" s="1"/>
  <c r="G149" i="1"/>
  <c r="F149" i="1"/>
  <c r="D149" i="1"/>
  <c r="E149" i="1" s="1"/>
  <c r="B149" i="1"/>
  <c r="C149" i="1" s="1"/>
  <c r="G148" i="1"/>
  <c r="F148" i="1"/>
  <c r="D148" i="1"/>
  <c r="E148" i="1" s="1"/>
  <c r="B148" i="1"/>
  <c r="C148" i="1" s="1"/>
  <c r="G147" i="1"/>
  <c r="F147" i="1"/>
  <c r="D147" i="1"/>
  <c r="E147" i="1" s="1"/>
  <c r="B147" i="1"/>
  <c r="C147" i="1" s="1"/>
  <c r="G146" i="1"/>
  <c r="F146" i="1"/>
  <c r="D146" i="1"/>
  <c r="E146" i="1" s="1"/>
  <c r="B146" i="1"/>
  <c r="C146" i="1" s="1"/>
  <c r="G145" i="1"/>
  <c r="F145" i="1"/>
  <c r="D145" i="1"/>
  <c r="E145" i="1" s="1"/>
  <c r="B145" i="1"/>
  <c r="C145" i="1" s="1"/>
  <c r="G144" i="1"/>
  <c r="F144" i="1"/>
  <c r="D144" i="1"/>
  <c r="E144" i="1" s="1"/>
  <c r="B144" i="1"/>
  <c r="C144" i="1" s="1"/>
  <c r="G143" i="1"/>
  <c r="F143" i="1"/>
  <c r="D143" i="1"/>
  <c r="E143" i="1" s="1"/>
  <c r="B143" i="1"/>
  <c r="C143" i="1" s="1"/>
  <c r="G142" i="1"/>
  <c r="F142" i="1"/>
  <c r="D142" i="1"/>
  <c r="E142" i="1" s="1"/>
  <c r="B142" i="1"/>
  <c r="C142" i="1" s="1"/>
  <c r="G141" i="1"/>
  <c r="F141" i="1"/>
  <c r="D141" i="1"/>
  <c r="E141" i="1" s="1"/>
  <c r="B141" i="1"/>
  <c r="C141" i="1" s="1"/>
  <c r="G140" i="1"/>
  <c r="F140" i="1"/>
  <c r="D140" i="1"/>
  <c r="E140" i="1" s="1"/>
  <c r="B140" i="1"/>
  <c r="C140" i="1" s="1"/>
  <c r="G139" i="1"/>
  <c r="F139" i="1"/>
  <c r="D139" i="1"/>
  <c r="E139" i="1" s="1"/>
  <c r="B139" i="1"/>
  <c r="C139" i="1" s="1"/>
  <c r="G138" i="1"/>
  <c r="F138" i="1"/>
  <c r="D138" i="1"/>
  <c r="E138" i="1" s="1"/>
  <c r="B138" i="1"/>
  <c r="C138" i="1" s="1"/>
  <c r="G137" i="1"/>
  <c r="F137" i="1"/>
  <c r="D137" i="1"/>
  <c r="E137" i="1" s="1"/>
  <c r="B137" i="1"/>
  <c r="C137" i="1" s="1"/>
  <c r="G136" i="1"/>
  <c r="F136" i="1"/>
  <c r="D136" i="1"/>
  <c r="E136" i="1" s="1"/>
  <c r="B136" i="1"/>
  <c r="C136" i="1" s="1"/>
  <c r="G135" i="1"/>
  <c r="F135" i="1"/>
  <c r="D135" i="1"/>
  <c r="E135" i="1" s="1"/>
  <c r="B135" i="1"/>
  <c r="C135" i="1" s="1"/>
  <c r="G134" i="1"/>
  <c r="F134" i="1"/>
  <c r="D134" i="1"/>
  <c r="E134" i="1" s="1"/>
  <c r="B134" i="1"/>
  <c r="C134" i="1" s="1"/>
  <c r="G133" i="1"/>
  <c r="F133" i="1"/>
  <c r="D133" i="1"/>
  <c r="E133" i="1" s="1"/>
  <c r="B133" i="1"/>
  <c r="C133" i="1" s="1"/>
  <c r="G132" i="1"/>
  <c r="F132" i="1"/>
  <c r="D132" i="1"/>
  <c r="E132" i="1" s="1"/>
  <c r="B132" i="1"/>
  <c r="C132" i="1" s="1"/>
  <c r="G131" i="1"/>
  <c r="F131" i="1"/>
  <c r="D131" i="1"/>
  <c r="E131" i="1" s="1"/>
  <c r="B131" i="1"/>
  <c r="C131" i="1" s="1"/>
  <c r="G130" i="1"/>
  <c r="F130" i="1"/>
  <c r="D130" i="1"/>
  <c r="E130" i="1" s="1"/>
  <c r="B130" i="1"/>
  <c r="C130" i="1" s="1"/>
  <c r="G129" i="1"/>
  <c r="F129" i="1"/>
  <c r="D129" i="1"/>
  <c r="E129" i="1" s="1"/>
  <c r="B129" i="1"/>
  <c r="C129" i="1" s="1"/>
  <c r="G128" i="1"/>
  <c r="F128" i="1"/>
  <c r="D128" i="1"/>
  <c r="E128" i="1" s="1"/>
  <c r="B128" i="1"/>
  <c r="C128" i="1" s="1"/>
  <c r="G127" i="1"/>
  <c r="F127" i="1"/>
  <c r="D127" i="1"/>
  <c r="E127" i="1" s="1"/>
  <c r="B127" i="1"/>
  <c r="C127" i="1" s="1"/>
  <c r="G126" i="1"/>
  <c r="F126" i="1"/>
  <c r="D126" i="1"/>
  <c r="E126" i="1" s="1"/>
  <c r="B126" i="1"/>
  <c r="C126" i="1" s="1"/>
  <c r="G125" i="1"/>
  <c r="F125" i="1"/>
  <c r="D125" i="1"/>
  <c r="E125" i="1" s="1"/>
  <c r="B125" i="1"/>
  <c r="C125" i="1" s="1"/>
  <c r="G124" i="1"/>
  <c r="F124" i="1"/>
  <c r="D124" i="1"/>
  <c r="E124" i="1" s="1"/>
  <c r="B124" i="1"/>
  <c r="C124" i="1" s="1"/>
  <c r="G123" i="1"/>
  <c r="F123" i="1"/>
  <c r="D123" i="1"/>
  <c r="E123" i="1" s="1"/>
  <c r="B123" i="1"/>
  <c r="C123" i="1" s="1"/>
  <c r="G122" i="1"/>
  <c r="F122" i="1"/>
  <c r="D122" i="1"/>
  <c r="E122" i="1" s="1"/>
  <c r="B122" i="1"/>
  <c r="C122" i="1" s="1"/>
  <c r="G121" i="1"/>
  <c r="F121" i="1"/>
  <c r="D121" i="1"/>
  <c r="E121" i="1" s="1"/>
  <c r="B121" i="1"/>
  <c r="C121" i="1" s="1"/>
  <c r="G120" i="1"/>
  <c r="F120" i="1"/>
  <c r="D120" i="1"/>
  <c r="E120" i="1" s="1"/>
  <c r="B120" i="1"/>
  <c r="C120" i="1" s="1"/>
  <c r="G119" i="1"/>
  <c r="F119" i="1"/>
  <c r="D119" i="1"/>
  <c r="E119" i="1" s="1"/>
  <c r="B119" i="1"/>
  <c r="C119" i="1" s="1"/>
  <c r="G118" i="1"/>
  <c r="F118" i="1"/>
  <c r="D118" i="1"/>
  <c r="E118" i="1" s="1"/>
  <c r="B118" i="1"/>
  <c r="C118" i="1" s="1"/>
  <c r="G117" i="1"/>
  <c r="F117" i="1"/>
  <c r="D117" i="1"/>
  <c r="E117" i="1" s="1"/>
  <c r="B117" i="1"/>
  <c r="C117" i="1" s="1"/>
  <c r="G116" i="1"/>
  <c r="F116" i="1"/>
  <c r="D116" i="1"/>
  <c r="E116" i="1" s="1"/>
  <c r="B116" i="1"/>
  <c r="C116" i="1" s="1"/>
  <c r="G115" i="1"/>
  <c r="F115" i="1"/>
  <c r="D115" i="1"/>
  <c r="E115" i="1" s="1"/>
  <c r="B115" i="1"/>
  <c r="C115" i="1" s="1"/>
  <c r="G114" i="1"/>
  <c r="F114" i="1"/>
  <c r="D114" i="1"/>
  <c r="E114" i="1" s="1"/>
  <c r="B114" i="1"/>
  <c r="C114" i="1" s="1"/>
  <c r="G113" i="1"/>
  <c r="F113" i="1"/>
  <c r="D113" i="1"/>
  <c r="E113" i="1" s="1"/>
  <c r="B113" i="1"/>
  <c r="C113" i="1" s="1"/>
  <c r="G112" i="1"/>
  <c r="F112" i="1"/>
  <c r="D112" i="1"/>
  <c r="E112" i="1" s="1"/>
  <c r="B112" i="1"/>
  <c r="C112" i="1" s="1"/>
  <c r="G111" i="1"/>
  <c r="F111" i="1"/>
  <c r="D111" i="1"/>
  <c r="E111" i="1" s="1"/>
  <c r="B111" i="1"/>
  <c r="C111" i="1" s="1"/>
  <c r="G110" i="1"/>
  <c r="F110" i="1"/>
  <c r="D110" i="1"/>
  <c r="E110" i="1" s="1"/>
  <c r="B110" i="1"/>
  <c r="C110" i="1" s="1"/>
  <c r="G109" i="1"/>
  <c r="F109" i="1"/>
  <c r="D109" i="1"/>
  <c r="E109" i="1" s="1"/>
  <c r="B109" i="1"/>
  <c r="C109" i="1" s="1"/>
  <c r="G108" i="1"/>
  <c r="F108" i="1"/>
  <c r="D108" i="1"/>
  <c r="E108" i="1" s="1"/>
  <c r="B108" i="1"/>
  <c r="C108" i="1" s="1"/>
  <c r="G107" i="1"/>
  <c r="F107" i="1"/>
  <c r="D107" i="1"/>
  <c r="E107" i="1" s="1"/>
  <c r="B107" i="1"/>
  <c r="C107" i="1" s="1"/>
  <c r="G106" i="1"/>
  <c r="F106" i="1"/>
  <c r="D106" i="1"/>
  <c r="E106" i="1" s="1"/>
  <c r="B106" i="1"/>
  <c r="C106" i="1" s="1"/>
  <c r="G105" i="1"/>
  <c r="F105" i="1"/>
  <c r="D105" i="1"/>
  <c r="E105" i="1" s="1"/>
  <c r="B105" i="1"/>
  <c r="C105" i="1" s="1"/>
  <c r="G104" i="1"/>
  <c r="F104" i="1"/>
  <c r="D104" i="1"/>
  <c r="E104" i="1" s="1"/>
  <c r="B104" i="1"/>
  <c r="C104" i="1" s="1"/>
  <c r="G103" i="1"/>
  <c r="F103" i="1"/>
  <c r="D103" i="1"/>
  <c r="E103" i="1" s="1"/>
  <c r="B103" i="1"/>
  <c r="C103" i="1" s="1"/>
  <c r="G102" i="1"/>
  <c r="F102" i="1"/>
  <c r="D102" i="1"/>
  <c r="E102" i="1" s="1"/>
  <c r="B102" i="1"/>
  <c r="C102" i="1" s="1"/>
  <c r="G101" i="1"/>
  <c r="F101" i="1"/>
  <c r="D101" i="1"/>
  <c r="E101" i="1" s="1"/>
  <c r="B101" i="1"/>
  <c r="C101" i="1" s="1"/>
  <c r="G100" i="1"/>
  <c r="F100" i="1"/>
  <c r="D100" i="1"/>
  <c r="E100" i="1" s="1"/>
  <c r="B100" i="1"/>
  <c r="C100" i="1" s="1"/>
  <c r="G99" i="1"/>
  <c r="F99" i="1"/>
  <c r="D99" i="1"/>
  <c r="E99" i="1" s="1"/>
  <c r="B99" i="1"/>
  <c r="C99" i="1" s="1"/>
  <c r="G98" i="1"/>
  <c r="F98" i="1"/>
  <c r="D98" i="1"/>
  <c r="E98" i="1" s="1"/>
  <c r="B98" i="1"/>
  <c r="C98" i="1" s="1"/>
  <c r="G97" i="1"/>
  <c r="F97" i="1"/>
  <c r="D97" i="1"/>
  <c r="E97" i="1" s="1"/>
  <c r="B97" i="1"/>
  <c r="C97" i="1" s="1"/>
  <c r="G96" i="1"/>
  <c r="F96" i="1"/>
  <c r="D96" i="1"/>
  <c r="E96" i="1" s="1"/>
  <c r="B96" i="1"/>
  <c r="C96" i="1" s="1"/>
  <c r="G95" i="1"/>
  <c r="F95" i="1"/>
  <c r="D95" i="1"/>
  <c r="E95" i="1" s="1"/>
  <c r="B95" i="1"/>
  <c r="C95" i="1" s="1"/>
  <c r="G94" i="1"/>
  <c r="F94" i="1"/>
  <c r="D94" i="1"/>
  <c r="E94" i="1" s="1"/>
  <c r="B94" i="1"/>
  <c r="C94" i="1" s="1"/>
  <c r="G93" i="1"/>
  <c r="F93" i="1"/>
  <c r="D93" i="1"/>
  <c r="E93" i="1" s="1"/>
  <c r="B93" i="1"/>
  <c r="C93" i="1" s="1"/>
  <c r="G92" i="1"/>
  <c r="F92" i="1"/>
  <c r="D92" i="1"/>
  <c r="E92" i="1" s="1"/>
  <c r="B92" i="1"/>
  <c r="C92" i="1" s="1"/>
  <c r="G91" i="1"/>
  <c r="F91" i="1"/>
  <c r="D91" i="1"/>
  <c r="E91" i="1" s="1"/>
  <c r="B91" i="1"/>
  <c r="C91" i="1" s="1"/>
  <c r="G90" i="1"/>
  <c r="F90" i="1"/>
  <c r="D90" i="1"/>
  <c r="E90" i="1" s="1"/>
  <c r="B90" i="1"/>
  <c r="C90" i="1" s="1"/>
  <c r="G89" i="1"/>
  <c r="F89" i="1"/>
  <c r="D89" i="1"/>
  <c r="E89" i="1" s="1"/>
  <c r="B89" i="1"/>
  <c r="C89" i="1" s="1"/>
  <c r="G88" i="1"/>
  <c r="F88" i="1"/>
  <c r="D88" i="1"/>
  <c r="E88" i="1" s="1"/>
  <c r="B88" i="1"/>
  <c r="C88" i="1" s="1"/>
  <c r="G87" i="1"/>
  <c r="F87" i="1"/>
  <c r="D87" i="1"/>
  <c r="E87" i="1" s="1"/>
  <c r="B87" i="1"/>
  <c r="C87" i="1" s="1"/>
  <c r="G86" i="1"/>
  <c r="F86" i="1"/>
  <c r="D86" i="1"/>
  <c r="E86" i="1" s="1"/>
  <c r="B86" i="1"/>
  <c r="C86" i="1" s="1"/>
  <c r="G85" i="1"/>
  <c r="F85" i="1"/>
  <c r="D85" i="1"/>
  <c r="E85" i="1" s="1"/>
  <c r="B85" i="1"/>
  <c r="C85" i="1" s="1"/>
  <c r="G84" i="1"/>
  <c r="F84" i="1"/>
  <c r="D84" i="1"/>
  <c r="E84" i="1" s="1"/>
  <c r="B84" i="1"/>
  <c r="C84" i="1" s="1"/>
  <c r="G83" i="1"/>
  <c r="F83" i="1"/>
  <c r="D83" i="1"/>
  <c r="E83" i="1" s="1"/>
  <c r="B83" i="1"/>
  <c r="C83" i="1" s="1"/>
  <c r="G82" i="1"/>
  <c r="F82" i="1"/>
  <c r="D82" i="1"/>
  <c r="E82" i="1" s="1"/>
  <c r="B82" i="1"/>
  <c r="C82" i="1" s="1"/>
  <c r="G81" i="1"/>
  <c r="F81" i="1"/>
  <c r="D81" i="1"/>
  <c r="E81" i="1" s="1"/>
  <c r="B81" i="1"/>
  <c r="C81" i="1" s="1"/>
  <c r="G80" i="1"/>
  <c r="F80" i="1"/>
  <c r="D80" i="1"/>
  <c r="E80" i="1" s="1"/>
  <c r="B80" i="1"/>
  <c r="C80" i="1" s="1"/>
  <c r="G79" i="1"/>
  <c r="F79" i="1"/>
  <c r="D79" i="1"/>
  <c r="E79" i="1" s="1"/>
  <c r="B79" i="1"/>
  <c r="C79" i="1" s="1"/>
  <c r="G78" i="1"/>
  <c r="F78" i="1"/>
  <c r="D78" i="1"/>
  <c r="E78" i="1" s="1"/>
  <c r="B78" i="1"/>
  <c r="C78" i="1" s="1"/>
  <c r="G77" i="1"/>
  <c r="F77" i="1"/>
  <c r="D77" i="1"/>
  <c r="E77" i="1" s="1"/>
  <c r="B77" i="1"/>
  <c r="C77" i="1" s="1"/>
  <c r="G76" i="1"/>
  <c r="F76" i="1"/>
  <c r="D76" i="1"/>
  <c r="E76" i="1" s="1"/>
  <c r="B76" i="1"/>
  <c r="C76" i="1" s="1"/>
  <c r="G75" i="1"/>
  <c r="F75" i="1"/>
  <c r="D75" i="1"/>
  <c r="E75" i="1" s="1"/>
  <c r="B75" i="1"/>
  <c r="C75" i="1" s="1"/>
  <c r="G74" i="1"/>
  <c r="F74" i="1"/>
  <c r="D74" i="1"/>
  <c r="E74" i="1" s="1"/>
  <c r="B74" i="1"/>
  <c r="C74" i="1" s="1"/>
  <c r="G73" i="1"/>
  <c r="F73" i="1"/>
  <c r="D73" i="1"/>
  <c r="E73" i="1" s="1"/>
  <c r="B73" i="1"/>
  <c r="C73" i="1" s="1"/>
  <c r="G72" i="1"/>
  <c r="F72" i="1"/>
  <c r="D72" i="1"/>
  <c r="E72" i="1" s="1"/>
  <c r="B72" i="1"/>
  <c r="C72" i="1" s="1"/>
  <c r="G71" i="1"/>
  <c r="F71" i="1"/>
  <c r="D71" i="1"/>
  <c r="E71" i="1" s="1"/>
  <c r="B71" i="1"/>
  <c r="C71" i="1" s="1"/>
  <c r="G70" i="1"/>
  <c r="F70" i="1"/>
  <c r="D70" i="1"/>
  <c r="E70" i="1" s="1"/>
  <c r="B70" i="1"/>
  <c r="C70" i="1" s="1"/>
  <c r="G69" i="1"/>
  <c r="F69" i="1"/>
  <c r="D69" i="1"/>
  <c r="E69" i="1" s="1"/>
  <c r="B69" i="1"/>
  <c r="C69" i="1" s="1"/>
  <c r="G68" i="1"/>
  <c r="F68" i="1"/>
  <c r="D68" i="1"/>
  <c r="E68" i="1" s="1"/>
  <c r="B68" i="1"/>
  <c r="C68" i="1" s="1"/>
  <c r="G67" i="1"/>
  <c r="F67" i="1"/>
  <c r="D67" i="1"/>
  <c r="E67" i="1" s="1"/>
  <c r="B67" i="1"/>
  <c r="C67" i="1" s="1"/>
  <c r="G66" i="1"/>
  <c r="F66" i="1"/>
  <c r="D66" i="1"/>
  <c r="E66" i="1" s="1"/>
  <c r="B66" i="1"/>
  <c r="C66" i="1" s="1"/>
  <c r="G65" i="1"/>
  <c r="F65" i="1"/>
  <c r="D65" i="1"/>
  <c r="E65" i="1" s="1"/>
  <c r="B65" i="1"/>
  <c r="C65" i="1" s="1"/>
  <c r="G64" i="1"/>
  <c r="F64" i="1"/>
  <c r="D64" i="1"/>
  <c r="E64" i="1" s="1"/>
  <c r="B64" i="1"/>
  <c r="C64" i="1" s="1"/>
  <c r="G63" i="1"/>
  <c r="F63" i="1"/>
  <c r="D63" i="1"/>
  <c r="E63" i="1" s="1"/>
  <c r="B63" i="1"/>
  <c r="C63" i="1" s="1"/>
  <c r="G62" i="1"/>
  <c r="F62" i="1"/>
  <c r="D62" i="1"/>
  <c r="E62" i="1" s="1"/>
  <c r="B62" i="1"/>
  <c r="C62" i="1" s="1"/>
  <c r="G61" i="1"/>
  <c r="F61" i="1"/>
  <c r="D61" i="1"/>
  <c r="E61" i="1" s="1"/>
  <c r="B61" i="1"/>
  <c r="C61" i="1" s="1"/>
  <c r="G60" i="1"/>
  <c r="F60" i="1"/>
  <c r="D60" i="1"/>
  <c r="E60" i="1" s="1"/>
  <c r="B60" i="1"/>
  <c r="C60" i="1" s="1"/>
  <c r="G59" i="1"/>
  <c r="F59" i="1"/>
  <c r="D59" i="1"/>
  <c r="E59" i="1" s="1"/>
  <c r="B59" i="1"/>
  <c r="C59" i="1" s="1"/>
  <c r="G58" i="1"/>
  <c r="F58" i="1"/>
  <c r="D58" i="1"/>
  <c r="E58" i="1" s="1"/>
  <c r="B58" i="1"/>
  <c r="C58" i="1" s="1"/>
  <c r="G57" i="1"/>
  <c r="F57" i="1"/>
  <c r="D57" i="1"/>
  <c r="E57" i="1" s="1"/>
  <c r="B57" i="1"/>
  <c r="C57" i="1" s="1"/>
  <c r="G56" i="1"/>
  <c r="F56" i="1"/>
  <c r="D56" i="1"/>
  <c r="E56" i="1" s="1"/>
  <c r="B56" i="1"/>
  <c r="C56" i="1" s="1"/>
  <c r="G55" i="1"/>
  <c r="F55" i="1"/>
  <c r="D55" i="1"/>
  <c r="E55" i="1" s="1"/>
  <c r="B55" i="1"/>
  <c r="C55" i="1" s="1"/>
  <c r="G54" i="1"/>
  <c r="F54" i="1"/>
  <c r="D54" i="1"/>
  <c r="E54" i="1" s="1"/>
  <c r="B54" i="1"/>
  <c r="C54" i="1" s="1"/>
  <c r="G53" i="1"/>
  <c r="F53" i="1"/>
  <c r="D53" i="1"/>
  <c r="E53" i="1" s="1"/>
  <c r="B53" i="1"/>
  <c r="C53" i="1" s="1"/>
  <c r="G52" i="1"/>
  <c r="F52" i="1"/>
  <c r="D52" i="1"/>
  <c r="E52" i="1" s="1"/>
  <c r="B52" i="1"/>
  <c r="C52" i="1" s="1"/>
  <c r="G51" i="1"/>
  <c r="F51" i="1"/>
  <c r="D51" i="1"/>
  <c r="E51" i="1" s="1"/>
  <c r="B51" i="1"/>
  <c r="C51" i="1" s="1"/>
  <c r="G50" i="1"/>
  <c r="F50" i="1"/>
  <c r="D50" i="1"/>
  <c r="E50" i="1" s="1"/>
  <c r="B50" i="1"/>
  <c r="C50" i="1" s="1"/>
  <c r="G49" i="1"/>
  <c r="F49" i="1"/>
  <c r="D49" i="1"/>
  <c r="E49" i="1" s="1"/>
  <c r="B49" i="1"/>
  <c r="C49" i="1" s="1"/>
  <c r="G48" i="1"/>
  <c r="F48" i="1"/>
  <c r="D48" i="1"/>
  <c r="E48" i="1" s="1"/>
  <c r="B48" i="1"/>
  <c r="C48" i="1" s="1"/>
  <c r="G47" i="1"/>
  <c r="F47" i="1"/>
  <c r="D47" i="1"/>
  <c r="E47" i="1" s="1"/>
  <c r="B47" i="1"/>
  <c r="C47" i="1" s="1"/>
  <c r="G46" i="1"/>
  <c r="F46" i="1"/>
  <c r="D46" i="1"/>
  <c r="E46" i="1" s="1"/>
  <c r="B46" i="1"/>
  <c r="C46" i="1" s="1"/>
  <c r="G45" i="1"/>
  <c r="F45" i="1"/>
  <c r="D45" i="1"/>
  <c r="E45" i="1" s="1"/>
  <c r="B45" i="1"/>
  <c r="C45" i="1" s="1"/>
  <c r="G44" i="1"/>
  <c r="F44" i="1"/>
  <c r="D44" i="1"/>
  <c r="E44" i="1" s="1"/>
  <c r="B44" i="1"/>
  <c r="C44" i="1" s="1"/>
  <c r="G43" i="1"/>
  <c r="F43" i="1"/>
  <c r="D43" i="1"/>
  <c r="E43" i="1" s="1"/>
  <c r="B43" i="1"/>
  <c r="C43" i="1" s="1"/>
  <c r="G42" i="1"/>
  <c r="F42" i="1"/>
  <c r="D42" i="1"/>
  <c r="E42" i="1" s="1"/>
  <c r="B42" i="1"/>
  <c r="C42" i="1" s="1"/>
  <c r="G41" i="1"/>
  <c r="F41" i="1"/>
  <c r="D41" i="1"/>
  <c r="E41" i="1" s="1"/>
  <c r="B41" i="1"/>
  <c r="C41" i="1" s="1"/>
  <c r="G40" i="1"/>
  <c r="F40" i="1"/>
  <c r="D40" i="1"/>
  <c r="E40" i="1" s="1"/>
  <c r="B40" i="1"/>
  <c r="C40" i="1" s="1"/>
  <c r="G39" i="1"/>
  <c r="F39" i="1"/>
  <c r="D39" i="1"/>
  <c r="E39" i="1" s="1"/>
  <c r="B39" i="1"/>
  <c r="C39" i="1" s="1"/>
  <c r="W39" i="1"/>
  <c r="G38" i="1"/>
  <c r="F38" i="1"/>
  <c r="D38" i="1"/>
  <c r="E38" i="1" s="1"/>
  <c r="B38" i="1"/>
  <c r="C38" i="1" s="1"/>
  <c r="W38" i="1"/>
  <c r="G37" i="1"/>
  <c r="F37" i="1"/>
  <c r="D37" i="1"/>
  <c r="E37" i="1" s="1"/>
  <c r="B37" i="1"/>
  <c r="C37" i="1" s="1"/>
  <c r="W37" i="1"/>
  <c r="G36" i="1"/>
  <c r="F36" i="1"/>
  <c r="D36" i="1"/>
  <c r="E36" i="1" s="1"/>
  <c r="B36" i="1"/>
  <c r="C36" i="1" s="1"/>
  <c r="W36" i="1"/>
  <c r="G35" i="1"/>
  <c r="F35" i="1"/>
  <c r="D35" i="1"/>
  <c r="E35" i="1" s="1"/>
  <c r="B35" i="1"/>
  <c r="C35" i="1" s="1"/>
  <c r="W35" i="1"/>
  <c r="G34" i="1"/>
  <c r="F34" i="1"/>
  <c r="D34" i="1"/>
  <c r="E34" i="1" s="1"/>
  <c r="B34" i="1"/>
  <c r="C34" i="1" s="1"/>
  <c r="W34" i="1"/>
  <c r="G33" i="1"/>
  <c r="F33" i="1"/>
  <c r="D33" i="1"/>
  <c r="E33" i="1" s="1"/>
  <c r="B33" i="1"/>
  <c r="C33" i="1" s="1"/>
  <c r="W33" i="1"/>
  <c r="G32" i="1"/>
  <c r="F32" i="1"/>
  <c r="D32" i="1"/>
  <c r="E32" i="1" s="1"/>
  <c r="B32" i="1"/>
  <c r="C32" i="1" s="1"/>
  <c r="W32" i="1"/>
  <c r="G31" i="1"/>
  <c r="F31" i="1"/>
  <c r="D31" i="1"/>
  <c r="E31" i="1" s="1"/>
  <c r="B31" i="1"/>
  <c r="C31" i="1" s="1"/>
  <c r="W31" i="1"/>
  <c r="G30" i="1"/>
  <c r="F30" i="1"/>
  <c r="D30" i="1"/>
  <c r="E30" i="1" s="1"/>
  <c r="B30" i="1"/>
  <c r="C30" i="1" s="1"/>
  <c r="W30" i="1"/>
  <c r="G29" i="1"/>
  <c r="F29" i="1"/>
  <c r="D29" i="1"/>
  <c r="E29" i="1" s="1"/>
  <c r="B29" i="1"/>
  <c r="C29" i="1" s="1"/>
  <c r="W29" i="1"/>
  <c r="G28" i="1"/>
  <c r="F28" i="1"/>
  <c r="D28" i="1"/>
  <c r="E28" i="1" s="1"/>
  <c r="B28" i="1"/>
  <c r="C28" i="1" s="1"/>
  <c r="W28" i="1"/>
  <c r="G27" i="1"/>
  <c r="F27" i="1"/>
  <c r="D27" i="1"/>
  <c r="E27" i="1" s="1"/>
  <c r="B27" i="1"/>
  <c r="C27" i="1" s="1"/>
  <c r="W27" i="1"/>
  <c r="G26" i="1"/>
  <c r="F26" i="1"/>
  <c r="D26" i="1"/>
  <c r="E26" i="1" s="1"/>
  <c r="B26" i="1"/>
  <c r="C26" i="1" s="1"/>
  <c r="W26" i="1"/>
  <c r="G25" i="1"/>
  <c r="F25" i="1"/>
  <c r="D25" i="1"/>
  <c r="E25" i="1" s="1"/>
  <c r="B25" i="1"/>
  <c r="C25" i="1" s="1"/>
  <c r="W25" i="1"/>
  <c r="G24" i="1"/>
  <c r="F24" i="1"/>
  <c r="D24" i="1"/>
  <c r="E24" i="1" s="1"/>
  <c r="B24" i="1"/>
  <c r="C24" i="1" s="1"/>
  <c r="W24" i="1"/>
  <c r="G23" i="1"/>
  <c r="F23" i="1"/>
  <c r="D23" i="1"/>
  <c r="E23" i="1" s="1"/>
  <c r="B23" i="1"/>
  <c r="C23" i="1" s="1"/>
  <c r="W23" i="1"/>
  <c r="G22" i="1"/>
  <c r="F22" i="1"/>
  <c r="D22" i="1"/>
  <c r="E22" i="1" s="1"/>
  <c r="B22" i="1"/>
  <c r="C22" i="1" s="1"/>
  <c r="W22" i="1"/>
  <c r="G21" i="1"/>
  <c r="F21" i="1"/>
  <c r="D21" i="1"/>
  <c r="E21" i="1" s="1"/>
  <c r="B21" i="1"/>
  <c r="C21" i="1" s="1"/>
  <c r="W21" i="1"/>
  <c r="G20" i="1"/>
  <c r="F20" i="1"/>
  <c r="D20" i="1"/>
  <c r="E20" i="1" s="1"/>
  <c r="B20" i="1"/>
  <c r="C20" i="1" s="1"/>
  <c r="W20" i="1"/>
  <c r="S19" i="1"/>
  <c r="G19" i="1"/>
  <c r="F19" i="1"/>
  <c r="D19" i="1"/>
  <c r="E19" i="1" s="1"/>
  <c r="B19" i="1"/>
  <c r="C19" i="1" s="1"/>
  <c r="W19" i="1"/>
  <c r="G18" i="1"/>
  <c r="F18" i="1"/>
  <c r="D18" i="1"/>
  <c r="E18" i="1" s="1"/>
  <c r="B18" i="1"/>
  <c r="C18" i="1" s="1"/>
  <c r="W18" i="1"/>
  <c r="G17" i="1"/>
  <c r="F17" i="1"/>
  <c r="D17" i="1"/>
  <c r="E17" i="1" s="1"/>
  <c r="B17" i="1"/>
  <c r="C17" i="1" s="1"/>
  <c r="W17" i="1"/>
  <c r="O16" i="1"/>
  <c r="G16" i="1"/>
  <c r="F16" i="1"/>
  <c r="D16" i="1"/>
  <c r="E16" i="1" s="1"/>
  <c r="B16" i="1"/>
  <c r="C16" i="1" s="1"/>
  <c r="W16" i="1"/>
  <c r="G15" i="1"/>
  <c r="F15" i="1"/>
  <c r="D15" i="1"/>
  <c r="E15" i="1" s="1"/>
  <c r="B15" i="1"/>
  <c r="C15" i="1" s="1"/>
  <c r="W15" i="1"/>
  <c r="G14" i="1"/>
  <c r="F14" i="1"/>
  <c r="D14" i="1"/>
  <c r="E14" i="1" s="1"/>
  <c r="B14" i="1"/>
  <c r="C14" i="1" s="1"/>
  <c r="W14" i="1"/>
  <c r="G13" i="1"/>
  <c r="F13" i="1"/>
  <c r="D13" i="1"/>
  <c r="E13" i="1" s="1"/>
  <c r="B13" i="1"/>
  <c r="C13" i="1" s="1"/>
  <c r="W13" i="1"/>
  <c r="G12" i="1"/>
  <c r="F12" i="1"/>
  <c r="D12" i="1"/>
  <c r="E12" i="1" s="1"/>
  <c r="B12" i="1"/>
  <c r="C12" i="1" s="1"/>
  <c r="W12" i="1"/>
  <c r="G11" i="1"/>
  <c r="F11" i="1"/>
  <c r="D11" i="1"/>
  <c r="E11" i="1" s="1"/>
  <c r="B11" i="1"/>
  <c r="C11" i="1" s="1"/>
  <c r="W11" i="1"/>
  <c r="G10" i="1"/>
  <c r="F10" i="1"/>
  <c r="D10" i="1"/>
  <c r="E10" i="1" s="1"/>
  <c r="B10" i="1"/>
  <c r="C10" i="1" s="1"/>
  <c r="W10" i="1"/>
  <c r="G9" i="1"/>
  <c r="F9" i="1"/>
  <c r="D9" i="1"/>
  <c r="E9" i="1" s="1"/>
  <c r="B9" i="1"/>
  <c r="C9" i="1" s="1"/>
  <c r="W9" i="1"/>
  <c r="G8" i="1"/>
  <c r="F8" i="1"/>
  <c r="D8" i="1"/>
  <c r="E8" i="1" s="1"/>
  <c r="B8" i="1"/>
  <c r="C8" i="1" s="1"/>
  <c r="W8" i="1"/>
  <c r="G7" i="1"/>
  <c r="F7" i="1"/>
  <c r="D7" i="1"/>
  <c r="E7" i="1" s="1"/>
  <c r="B7" i="1"/>
  <c r="C7" i="1" s="1"/>
  <c r="W7" i="1"/>
  <c r="G6" i="1"/>
  <c r="F6" i="1"/>
  <c r="D6" i="1"/>
  <c r="E6" i="1" s="1"/>
  <c r="B6" i="1"/>
  <c r="C6" i="1" s="1"/>
  <c r="W6" i="1"/>
  <c r="O18" i="1" l="1"/>
  <c r="H448" i="1"/>
  <c r="H80" i="1"/>
  <c r="H144" i="1"/>
  <c r="H336" i="1"/>
  <c r="H528" i="1"/>
  <c r="H256" i="1"/>
  <c r="H368" i="1"/>
  <c r="H384" i="1"/>
  <c r="H544" i="1"/>
  <c r="O12" i="1"/>
  <c r="O10" i="1"/>
  <c r="O11" i="1"/>
  <c r="O13" i="1"/>
  <c r="O14" i="1"/>
  <c r="O17" i="1"/>
  <c r="K13" i="1"/>
  <c r="K17" i="1"/>
  <c r="K18" i="1" s="1"/>
  <c r="K11" i="1"/>
  <c r="K12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567" i="1"/>
  <c r="H565" i="1"/>
  <c r="H564" i="1"/>
  <c r="H562" i="1"/>
  <c r="H561" i="1"/>
  <c r="H557" i="1"/>
  <c r="H556" i="1"/>
  <c r="H553" i="1"/>
  <c r="H552" i="1"/>
  <c r="H548" i="1"/>
  <c r="H547" i="1"/>
  <c r="H543" i="1"/>
  <c r="H541" i="1"/>
  <c r="H538" i="1"/>
  <c r="H537" i="1"/>
  <c r="H534" i="1"/>
  <c r="H533" i="1"/>
  <c r="H532" i="1"/>
  <c r="H531" i="1"/>
  <c r="H527" i="1"/>
  <c r="H526" i="1"/>
  <c r="H523" i="1"/>
  <c r="H522" i="1"/>
  <c r="H520" i="1"/>
  <c r="H519" i="1"/>
  <c r="H516" i="1"/>
  <c r="H515" i="1"/>
  <c r="H511" i="1"/>
  <c r="H509" i="1"/>
  <c r="H508" i="1"/>
  <c r="H507" i="1"/>
  <c r="H503" i="1"/>
  <c r="H502" i="1"/>
  <c r="H499" i="1"/>
  <c r="H496" i="1"/>
  <c r="H495" i="1"/>
  <c r="H494" i="1"/>
  <c r="H492" i="1"/>
  <c r="H489" i="1"/>
  <c r="H488" i="1"/>
  <c r="H487" i="1"/>
  <c r="H486" i="1"/>
  <c r="H485" i="1"/>
  <c r="H484" i="1"/>
  <c r="H483" i="1"/>
  <c r="H481" i="1"/>
  <c r="H478" i="1"/>
  <c r="H475" i="1"/>
  <c r="H473" i="1"/>
  <c r="H472" i="1"/>
  <c r="H469" i="1"/>
  <c r="H468" i="1"/>
  <c r="H467" i="1"/>
  <c r="H466" i="1"/>
  <c r="H463" i="1"/>
  <c r="H462" i="1"/>
  <c r="H458" i="1"/>
  <c r="H457" i="1"/>
  <c r="H454" i="1"/>
  <c r="H449" i="1"/>
  <c r="H446" i="1"/>
  <c r="H443" i="1"/>
  <c r="H442" i="1"/>
  <c r="H441" i="1"/>
  <c r="H440" i="1"/>
  <c r="H435" i="1"/>
  <c r="H431" i="1"/>
  <c r="H428" i="1"/>
  <c r="H426" i="1"/>
  <c r="H425" i="1"/>
  <c r="H424" i="1"/>
  <c r="H422" i="1"/>
  <c r="H421" i="1"/>
  <c r="H419" i="1"/>
  <c r="H417" i="1"/>
  <c r="H416" i="1"/>
  <c r="H414" i="1"/>
  <c r="H410" i="1"/>
  <c r="H408" i="1"/>
  <c r="H404" i="1"/>
  <c r="H403" i="1"/>
  <c r="H398" i="1"/>
  <c r="H397" i="1"/>
  <c r="H394" i="1"/>
  <c r="H393" i="1"/>
  <c r="H391" i="1"/>
  <c r="H390" i="1"/>
  <c r="H389" i="1"/>
  <c r="H387" i="1"/>
  <c r="H386" i="1"/>
  <c r="H385" i="1"/>
  <c r="H380" i="1"/>
  <c r="H379" i="1"/>
  <c r="H378" i="1"/>
  <c r="H375" i="1"/>
  <c r="H374" i="1"/>
  <c r="H373" i="1"/>
  <c r="H371" i="1"/>
  <c r="H370" i="1"/>
  <c r="H367" i="1"/>
  <c r="H362" i="1"/>
  <c r="H361" i="1"/>
  <c r="H357" i="1"/>
  <c r="H355" i="1"/>
  <c r="H352" i="1"/>
  <c r="H351" i="1"/>
  <c r="H350" i="1"/>
  <c r="H348" i="1"/>
  <c r="H346" i="1"/>
  <c r="H344" i="1"/>
  <c r="H343" i="1"/>
  <c r="H340" i="1"/>
  <c r="H339" i="1"/>
  <c r="H337" i="1"/>
  <c r="H333" i="1"/>
  <c r="H332" i="1"/>
  <c r="H328" i="1"/>
  <c r="H325" i="1"/>
  <c r="H322" i="1"/>
  <c r="H319" i="1"/>
  <c r="H317" i="1"/>
  <c r="H316" i="1"/>
  <c r="H315" i="1"/>
  <c r="H314" i="1"/>
  <c r="H311" i="1"/>
  <c r="H308" i="1"/>
  <c r="H307" i="1"/>
  <c r="H303" i="1"/>
  <c r="H302" i="1"/>
  <c r="H299" i="1"/>
  <c r="H298" i="1"/>
  <c r="H294" i="1"/>
  <c r="H292" i="1"/>
  <c r="H289" i="1"/>
  <c r="H288" i="1"/>
  <c r="H286" i="1"/>
  <c r="H283" i="1"/>
  <c r="H282" i="1"/>
  <c r="H279" i="1"/>
  <c r="H278" i="1"/>
  <c r="H277" i="1"/>
  <c r="H276" i="1"/>
  <c r="H273" i="1"/>
  <c r="H272" i="1"/>
  <c r="H269" i="1"/>
  <c r="H268" i="1"/>
  <c r="H266" i="1"/>
  <c r="H265" i="1"/>
  <c r="H261" i="1"/>
  <c r="H258" i="1"/>
  <c r="H257" i="1"/>
  <c r="H255" i="1"/>
  <c r="H254" i="1"/>
  <c r="H252" i="1"/>
  <c r="H251" i="1"/>
  <c r="H246" i="1"/>
  <c r="H245" i="1"/>
  <c r="H241" i="1"/>
  <c r="H240" i="1"/>
  <c r="H238" i="1"/>
  <c r="H237" i="1"/>
  <c r="H236" i="1"/>
  <c r="H234" i="1"/>
  <c r="H233" i="1"/>
  <c r="H230" i="1"/>
  <c r="H229" i="1"/>
  <c r="H227" i="1"/>
  <c r="H226" i="1"/>
  <c r="H225" i="1"/>
  <c r="H223" i="1"/>
  <c r="H221" i="1"/>
  <c r="H219" i="1"/>
  <c r="H218" i="1"/>
  <c r="H215" i="1"/>
  <c r="H214" i="1"/>
  <c r="H210" i="1"/>
  <c r="H206" i="1"/>
  <c r="H203" i="1"/>
  <c r="H202" i="1"/>
  <c r="H201" i="1"/>
  <c r="H196" i="1"/>
  <c r="H195" i="1"/>
  <c r="H192" i="1"/>
  <c r="H190" i="1"/>
  <c r="H189" i="1"/>
  <c r="H187" i="1"/>
  <c r="H185" i="1"/>
  <c r="H179" i="1"/>
  <c r="H178" i="1"/>
  <c r="H167" i="1"/>
  <c r="H164" i="1"/>
  <c r="H163" i="1"/>
  <c r="H160" i="1"/>
  <c r="H159" i="1"/>
  <c r="H156" i="1"/>
  <c r="H153" i="1"/>
  <c r="H148" i="1"/>
  <c r="H143" i="1"/>
  <c r="H142" i="1"/>
  <c r="H141" i="1"/>
  <c r="H138" i="1"/>
  <c r="H133" i="1"/>
  <c r="H130" i="1"/>
  <c r="H124" i="1"/>
  <c r="H120" i="1"/>
  <c r="H115" i="1"/>
  <c r="H112" i="1"/>
  <c r="H110" i="1"/>
  <c r="H104" i="1"/>
  <c r="H91" i="1"/>
  <c r="H90" i="1"/>
  <c r="H88" i="1"/>
  <c r="H87" i="1"/>
  <c r="H86" i="1"/>
  <c r="H78" i="1"/>
  <c r="H68" i="1"/>
  <c r="H67" i="1"/>
  <c r="H66" i="1"/>
  <c r="H65" i="1"/>
  <c r="H64" i="1"/>
  <c r="H63" i="1"/>
  <c r="H54" i="1"/>
  <c r="H53" i="1"/>
  <c r="H49" i="1"/>
  <c r="H44" i="1"/>
  <c r="H39" i="1"/>
  <c r="H36" i="1"/>
  <c r="H32" i="1"/>
  <c r="H27" i="1"/>
  <c r="H19" i="1"/>
  <c r="H17" i="1"/>
  <c r="H10" i="1"/>
  <c r="H8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6" i="1"/>
  <c r="H563" i="1"/>
  <c r="H560" i="1"/>
  <c r="H559" i="1"/>
  <c r="H558" i="1"/>
  <c r="H555" i="1"/>
  <c r="H554" i="1"/>
  <c r="H551" i="1"/>
  <c r="H550" i="1"/>
  <c r="H549" i="1"/>
  <c r="H546" i="1"/>
  <c r="H545" i="1"/>
  <c r="H542" i="1"/>
  <c r="H540" i="1"/>
  <c r="H539" i="1"/>
  <c r="H536" i="1"/>
  <c r="H535" i="1"/>
  <c r="H530" i="1"/>
  <c r="H529" i="1"/>
  <c r="H525" i="1"/>
  <c r="H524" i="1"/>
  <c r="H521" i="1"/>
  <c r="H518" i="1"/>
  <c r="H517" i="1"/>
  <c r="H514" i="1"/>
  <c r="H513" i="1"/>
  <c r="H512" i="1"/>
  <c r="H510" i="1"/>
  <c r="H506" i="1"/>
  <c r="H505" i="1"/>
  <c r="H504" i="1"/>
  <c r="H501" i="1"/>
  <c r="H500" i="1"/>
  <c r="H498" i="1"/>
  <c r="H497" i="1"/>
  <c r="H493" i="1"/>
  <c r="H491" i="1"/>
  <c r="H490" i="1"/>
  <c r="H482" i="1"/>
  <c r="H480" i="1"/>
  <c r="H479" i="1"/>
  <c r="H477" i="1"/>
  <c r="H476" i="1"/>
  <c r="H474" i="1"/>
  <c r="H471" i="1"/>
  <c r="H470" i="1"/>
  <c r="H465" i="1"/>
  <c r="H464" i="1"/>
  <c r="H461" i="1"/>
  <c r="H460" i="1"/>
  <c r="H459" i="1"/>
  <c r="H456" i="1"/>
  <c r="H455" i="1"/>
  <c r="H453" i="1"/>
  <c r="H452" i="1"/>
  <c r="H451" i="1"/>
  <c r="H450" i="1"/>
  <c r="H447" i="1"/>
  <c r="H445" i="1"/>
  <c r="H444" i="1"/>
  <c r="H439" i="1"/>
  <c r="H438" i="1"/>
  <c r="H437" i="1"/>
  <c r="H436" i="1"/>
  <c r="H434" i="1"/>
  <c r="H433" i="1"/>
  <c r="H432" i="1"/>
  <c r="H430" i="1"/>
  <c r="H429" i="1"/>
  <c r="H427" i="1"/>
  <c r="H423" i="1"/>
  <c r="H420" i="1"/>
  <c r="H418" i="1"/>
  <c r="H415" i="1"/>
  <c r="H413" i="1"/>
  <c r="H412" i="1"/>
  <c r="H411" i="1"/>
  <c r="H409" i="1"/>
  <c r="H407" i="1"/>
  <c r="H406" i="1"/>
  <c r="H405" i="1"/>
  <c r="H402" i="1"/>
  <c r="H401" i="1"/>
  <c r="H400" i="1"/>
  <c r="H399" i="1"/>
  <c r="H396" i="1"/>
  <c r="H395" i="1"/>
  <c r="H392" i="1"/>
  <c r="H388" i="1"/>
  <c r="H383" i="1"/>
  <c r="H382" i="1"/>
  <c r="H381" i="1"/>
  <c r="H377" i="1"/>
  <c r="H376" i="1"/>
  <c r="H372" i="1"/>
  <c r="H369" i="1"/>
  <c r="H366" i="1"/>
  <c r="H365" i="1"/>
  <c r="H364" i="1"/>
  <c r="H363" i="1"/>
  <c r="H360" i="1"/>
  <c r="H359" i="1"/>
  <c r="H358" i="1"/>
  <c r="H356" i="1"/>
  <c r="H354" i="1"/>
  <c r="H353" i="1"/>
  <c r="H349" i="1"/>
  <c r="H347" i="1"/>
  <c r="H345" i="1"/>
  <c r="H342" i="1"/>
  <c r="H341" i="1"/>
  <c r="H338" i="1"/>
  <c r="H335" i="1"/>
  <c r="H334" i="1"/>
  <c r="H331" i="1"/>
  <c r="H330" i="1"/>
  <c r="H329" i="1"/>
  <c r="H327" i="1"/>
  <c r="H326" i="1"/>
  <c r="H324" i="1"/>
  <c r="H323" i="1"/>
  <c r="H321" i="1"/>
  <c r="H320" i="1"/>
  <c r="H318" i="1"/>
  <c r="H313" i="1"/>
  <c r="H312" i="1"/>
  <c r="H310" i="1"/>
  <c r="H309" i="1"/>
  <c r="H306" i="1"/>
  <c r="H305" i="1"/>
  <c r="H304" i="1"/>
  <c r="H301" i="1"/>
  <c r="H300" i="1"/>
  <c r="H297" i="1"/>
  <c r="H296" i="1"/>
  <c r="H295" i="1"/>
  <c r="H293" i="1"/>
  <c r="H291" i="1"/>
  <c r="H290" i="1"/>
  <c r="H287" i="1"/>
  <c r="H285" i="1"/>
  <c r="H284" i="1"/>
  <c r="H281" i="1"/>
  <c r="H280" i="1"/>
  <c r="H275" i="1"/>
  <c r="H274" i="1"/>
  <c r="H271" i="1"/>
  <c r="H270" i="1"/>
  <c r="H267" i="1"/>
  <c r="H264" i="1"/>
  <c r="H263" i="1"/>
  <c r="H262" i="1"/>
  <c r="H260" i="1"/>
  <c r="H259" i="1"/>
  <c r="H253" i="1"/>
  <c r="H250" i="1"/>
  <c r="H249" i="1"/>
  <c r="H248" i="1"/>
  <c r="H247" i="1"/>
  <c r="H244" i="1"/>
  <c r="H243" i="1"/>
  <c r="H242" i="1"/>
  <c r="H239" i="1"/>
  <c r="H235" i="1"/>
  <c r="H232" i="1"/>
  <c r="H231" i="1"/>
  <c r="H228" i="1"/>
  <c r="H224" i="1"/>
  <c r="H222" i="1"/>
  <c r="H217" i="1"/>
  <c r="H216" i="1"/>
  <c r="H209" i="1"/>
  <c r="H208" i="1"/>
  <c r="H207" i="1"/>
  <c r="H204" i="1"/>
  <c r="H200" i="1"/>
  <c r="H199" i="1"/>
  <c r="H197" i="1"/>
  <c r="H194" i="1"/>
  <c r="H193" i="1"/>
  <c r="H191" i="1"/>
  <c r="H188" i="1"/>
  <c r="H183" i="1"/>
  <c r="H180" i="1"/>
  <c r="H177" i="1"/>
  <c r="H175" i="1"/>
  <c r="H174" i="1"/>
  <c r="H172" i="1"/>
  <c r="H170" i="1"/>
  <c r="H169" i="1"/>
  <c r="H155" i="1"/>
  <c r="H147" i="1"/>
  <c r="H140" i="1"/>
  <c r="H137" i="1"/>
  <c r="H135" i="1"/>
  <c r="H132" i="1"/>
  <c r="H131" i="1"/>
  <c r="H129" i="1"/>
  <c r="H127" i="1"/>
  <c r="H126" i="1"/>
  <c r="H123" i="1"/>
  <c r="H122" i="1"/>
  <c r="H121" i="1"/>
  <c r="H119" i="1"/>
  <c r="H118" i="1"/>
  <c r="H117" i="1"/>
  <c r="H116" i="1"/>
  <c r="H114" i="1"/>
  <c r="H111" i="1"/>
  <c r="H108" i="1"/>
  <c r="H106" i="1"/>
  <c r="H105" i="1"/>
  <c r="H102" i="1"/>
  <c r="H101" i="1"/>
  <c r="H99" i="1"/>
  <c r="H97" i="1"/>
  <c r="H95" i="1"/>
  <c r="H93" i="1"/>
  <c r="H92" i="1"/>
  <c r="H84" i="1"/>
  <c r="H81" i="1"/>
  <c r="H77" i="1"/>
  <c r="H73" i="1"/>
  <c r="H72" i="1"/>
  <c r="H69" i="1"/>
  <c r="H61" i="1"/>
  <c r="H57" i="1"/>
  <c r="H56" i="1"/>
  <c r="H52" i="1"/>
  <c r="H51" i="1"/>
  <c r="H48" i="1"/>
  <c r="H47" i="1"/>
  <c r="H46" i="1"/>
  <c r="H45" i="1"/>
  <c r="H43" i="1"/>
  <c r="H34" i="1"/>
  <c r="H31" i="1"/>
  <c r="H24" i="1"/>
  <c r="H23" i="1"/>
  <c r="H22" i="1"/>
  <c r="H21" i="1"/>
  <c r="H18" i="1"/>
  <c r="H16" i="1"/>
  <c r="H11" i="1"/>
  <c r="H7" i="1"/>
  <c r="H220" i="1"/>
  <c r="H213" i="1"/>
  <c r="H212" i="1"/>
  <c r="H211" i="1"/>
  <c r="H205" i="1"/>
  <c r="H198" i="1"/>
  <c r="H186" i="1"/>
  <c r="H184" i="1"/>
  <c r="H182" i="1"/>
  <c r="H181" i="1"/>
  <c r="H176" i="1"/>
  <c r="H173" i="1"/>
  <c r="H171" i="1"/>
  <c r="H168" i="1"/>
  <c r="H166" i="1"/>
  <c r="H165" i="1"/>
  <c r="H162" i="1"/>
  <c r="H161" i="1"/>
  <c r="H158" i="1"/>
  <c r="H157" i="1"/>
  <c r="H154" i="1"/>
  <c r="H152" i="1"/>
  <c r="H151" i="1"/>
  <c r="H150" i="1"/>
  <c r="H149" i="1"/>
  <c r="H146" i="1"/>
  <c r="H145" i="1"/>
  <c r="H139" i="1"/>
  <c r="H136" i="1"/>
  <c r="H134" i="1"/>
  <c r="H128" i="1"/>
  <c r="H125" i="1"/>
  <c r="H113" i="1"/>
  <c r="H109" i="1"/>
  <c r="H107" i="1"/>
  <c r="H103" i="1"/>
  <c r="H100" i="1"/>
  <c r="H98" i="1"/>
  <c r="H96" i="1"/>
  <c r="H94" i="1"/>
  <c r="H89" i="1"/>
  <c r="H85" i="1"/>
  <c r="H83" i="1"/>
  <c r="H82" i="1"/>
  <c r="H79" i="1"/>
  <c r="H76" i="1"/>
  <c r="H75" i="1"/>
  <c r="H74" i="1"/>
  <c r="H71" i="1"/>
  <c r="H70" i="1"/>
  <c r="H62" i="1"/>
  <c r="H60" i="1"/>
  <c r="H59" i="1"/>
  <c r="H58" i="1"/>
  <c r="H55" i="1"/>
  <c r="H50" i="1"/>
  <c r="H42" i="1"/>
  <c r="H41" i="1"/>
  <c r="H40" i="1"/>
  <c r="H38" i="1"/>
  <c r="H37" i="1"/>
  <c r="H35" i="1"/>
  <c r="H33" i="1"/>
  <c r="H30" i="1"/>
  <c r="H29" i="1"/>
  <c r="H28" i="1"/>
  <c r="H26" i="1"/>
  <c r="H25" i="1"/>
  <c r="H20" i="1"/>
  <c r="H15" i="1"/>
  <c r="H14" i="1"/>
  <c r="H13" i="1"/>
  <c r="H12" i="1"/>
  <c r="H9" i="1"/>
  <c r="H6" i="1"/>
  <c r="S21" i="1" l="1"/>
  <c r="S14" i="1"/>
  <c r="S12" i="1"/>
  <c r="S20" i="1"/>
  <c r="S22" i="1" s="1"/>
  <c r="S15" i="1"/>
  <c r="S11" i="1"/>
  <c r="S16" i="1"/>
  <c r="S13" i="1"/>
  <c r="S10" i="1"/>
</calcChain>
</file>

<file path=xl/sharedStrings.xml><?xml version="1.0" encoding="utf-8"?>
<sst xmlns="http://schemas.openxmlformats.org/spreadsheetml/2006/main" count="65" uniqueCount="56">
  <si>
    <t>Incluye Validaciones de Error, Varianza y Métodos Nativos vs Inversos</t>
  </si>
  <si>
    <t>1. EMPÍRICA (Acción)</t>
  </si>
  <si>
    <t>2. UNIFORME (Cluster)</t>
  </si>
  <si>
    <t>3. POISSON (Queries)</t>
  </si>
  <si>
    <t>ID</t>
  </si>
  <si>
    <t>Motor U1</t>
  </si>
  <si>
    <t>Acción (Emp)</t>
  </si>
  <si>
    <t>Motor U2</t>
  </si>
  <si>
    <t>Cluster (Inv)</t>
  </si>
  <si>
    <t>Cluster (Nat)</t>
  </si>
  <si>
    <t>Motor U3</t>
  </si>
  <si>
    <t>Queries (Poi)</t>
  </si>
  <si>
    <t>Límite F(x)</t>
  </si>
  <si>
    <t>Acción</t>
  </si>
  <si>
    <t>Parámetro</t>
  </si>
  <si>
    <t>Valor</t>
  </si>
  <si>
    <t>Navegación</t>
  </si>
  <si>
    <t>Mínimo (a)</t>
  </si>
  <si>
    <t>Lambda (λ)</t>
  </si>
  <si>
    <t>Carrito</t>
  </si>
  <si>
    <t>Máximo (b)</t>
  </si>
  <si>
    <t>Checkout</t>
  </si>
  <si>
    <t>Cluster</t>
  </si>
  <si>
    <t>Frecuencia (Inv)</t>
  </si>
  <si>
    <t>Rango Queries</t>
  </si>
  <si>
    <t>Frecuencia</t>
  </si>
  <si>
    <t>Cluster 1</t>
  </si>
  <si>
    <t>0 a 5</t>
  </si>
  <si>
    <t>Cluster 2</t>
  </si>
  <si>
    <t>6 a 8</t>
  </si>
  <si>
    <t>Cluster 3</t>
  </si>
  <si>
    <t>9 a 11</t>
  </si>
  <si>
    <t>Cluster 4</t>
  </si>
  <si>
    <t>12 a 14</t>
  </si>
  <si>
    <t>Cluster 5</t>
  </si>
  <si>
    <t>15 a 17</t>
  </si>
  <si>
    <t>Validación Empírica</t>
  </si>
  <si>
    <t>Métrica</t>
  </si>
  <si>
    <t>Validación Uniforme</t>
  </si>
  <si>
    <t>18 a 20</t>
  </si>
  <si>
    <t>Objetivo Histórico (Nav.)</t>
  </si>
  <si>
    <t>Prob. Teórica Uniforme</t>
  </si>
  <si>
    <t>&gt; 20</t>
  </si>
  <si>
    <t>Porcentaje Sim. (Nav.)</t>
  </si>
  <si>
    <t>Frec. Clúster 1 (Inv)</t>
  </si>
  <si>
    <t>Desviación (Error)</t>
  </si>
  <si>
    <t>Frec. Clúster 1 (Nativa)</t>
  </si>
  <si>
    <t>Validación Poisson</t>
  </si>
  <si>
    <t>Promedio Teórico (λ)</t>
  </si>
  <si>
    <t>Promedio Simulado</t>
  </si>
  <si>
    <t>Varianza Simulada</t>
  </si>
  <si>
    <t>Error Porc. Promedio</t>
  </si>
  <si>
    <t>Lim Inf (U)</t>
  </si>
  <si>
    <t>Queries (x)</t>
  </si>
  <si>
    <t>F(x) Acumulada</t>
  </si>
  <si>
    <t>E-COMMERCE (VARIABLES DISCRETAS: EMPÍRICA DISCRETA, UNIFORME DISCRETA, POISSON)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</si>
</sst>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>
    <font>
      <sz val="11"/>
      <color theme="1"/>
      <name val="Calibri"/>
      <family val="2"/>
      <scheme val="minor"/>
    </font>
    <font>
      <b/>
      <sz val="18"/>
      <color rgb="FF2C3E50"/>
      <name val="Segoe UI"/>
    </font>
    <font>
      <i/>
      <sz val="12"/>
      <color rgb="FF7F8C8D"/>
      <name val="Segoe UI"/>
    </font>
    <font>
      <b/>
      <sz val="10"/>
      <name val="Segoe UI"/>
    </font>
    <font>
      <b/>
      <sz val="11"/>
      <color rgb="FFFFFFFF"/>
      <name val="Segoe UI"/>
    </font>
    <font>
      <sz val="10"/>
      <name val="Segoe UI"/>
    </font>
    <font>
      <i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E8DAEF"/>
        <bgColor rgb="FFE8DAEF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CF3CF"/>
        <bgColor rgb="FFFCF3CF"/>
      </patternFill>
    </fill>
    <fill>
      <patternFill patternType="solid">
        <fgColor rgb="FFF2F4F4"/>
        <bgColor rgb="FFF2F4F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Frec. Acciones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OmniMarket_Validado!$K$10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OmniMarket_Validado!$J$11:$J$13</c:f>
              <c:strCache>
                <c:ptCount val="3"/>
                <c:pt idx="0">
                  <c:v>Navegación</c:v>
                </c:pt>
                <c:pt idx="1">
                  <c:v>Carrito</c:v>
                </c:pt>
                <c:pt idx="2">
                  <c:v>Checkout</c:v>
                </c:pt>
              </c:strCache>
            </c:strRef>
          </c:cat>
          <c:val>
            <c:numRef>
              <c:f>OmniMarket_Validado!$K$11:$K$13</c:f>
              <c:numCache>
                <c:formatCode>General</c:formatCode>
                <c:ptCount val="3"/>
                <c:pt idx="0">
                  <c:v>548</c:v>
                </c:pt>
                <c:pt idx="1">
                  <c:v>295</c:v>
                </c:pt>
                <c:pt idx="2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0-43A5-9668-D6E80BE21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Balanceo Clúster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OmniMarket_Validado!$O$9</c:f>
              <c:strCache>
                <c:ptCount val="1"/>
                <c:pt idx="0">
                  <c:v>Frecuencia (Inv)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OmniMarket_Validado!$N$10:$N$14</c:f>
              <c:strCache>
                <c:ptCount val="5"/>
                <c:pt idx="0">
                  <c:v>Cluster 1</c:v>
                </c:pt>
                <c:pt idx="1">
                  <c:v>Cluster 2</c:v>
                </c:pt>
                <c:pt idx="2">
                  <c:v>Cluster 3</c:v>
                </c:pt>
                <c:pt idx="3">
                  <c:v>Cluster 4</c:v>
                </c:pt>
                <c:pt idx="4">
                  <c:v>Cluster 5</c:v>
                </c:pt>
              </c:strCache>
            </c:strRef>
          </c:cat>
          <c:val>
            <c:numRef>
              <c:f>OmniMarket_Validado!$O$10:$O$14</c:f>
              <c:numCache>
                <c:formatCode>General</c:formatCode>
                <c:ptCount val="5"/>
                <c:pt idx="0">
                  <c:v>201</c:v>
                </c:pt>
                <c:pt idx="1">
                  <c:v>190</c:v>
                </c:pt>
                <c:pt idx="2">
                  <c:v>212</c:v>
                </c:pt>
                <c:pt idx="3">
                  <c:v>210</c:v>
                </c:pt>
                <c:pt idx="4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E-4721-BAB1-9D68B2667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Campana Poisson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OmniMarket_Validado!$S$9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OmniMarket_Validado!$R$10:$R$16</c:f>
              <c:strCache>
                <c:ptCount val="7"/>
                <c:pt idx="0">
                  <c:v>0 a 5</c:v>
                </c:pt>
                <c:pt idx="1">
                  <c:v>6 a 8</c:v>
                </c:pt>
                <c:pt idx="2">
                  <c:v>9 a 11</c:v>
                </c:pt>
                <c:pt idx="3">
                  <c:v>12 a 14</c:v>
                </c:pt>
                <c:pt idx="4">
                  <c:v>15 a 17</c:v>
                </c:pt>
                <c:pt idx="5">
                  <c:v>18 a 20</c:v>
                </c:pt>
                <c:pt idx="6">
                  <c:v>&gt; 20</c:v>
                </c:pt>
              </c:strCache>
            </c:strRef>
          </c:cat>
          <c:val>
            <c:numRef>
              <c:f>OmniMarket_Validado!$S$10:$S$16</c:f>
              <c:numCache>
                <c:formatCode>General</c:formatCode>
                <c:ptCount val="7"/>
                <c:pt idx="0">
                  <c:v>24</c:v>
                </c:pt>
                <c:pt idx="1">
                  <c:v>130</c:v>
                </c:pt>
                <c:pt idx="2">
                  <c:v>305</c:v>
                </c:pt>
                <c:pt idx="3">
                  <c:v>322</c:v>
                </c:pt>
                <c:pt idx="4">
                  <c:v>154</c:v>
                </c:pt>
                <c:pt idx="5">
                  <c:v>52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1-48CE-92F1-841F14276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19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19</xdr:row>
      <xdr:rowOff>0</xdr:rowOff>
    </xdr:from>
    <xdr:ext cx="360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0</xdr:colOff>
      <xdr:row>23</xdr:row>
      <xdr:rowOff>0</xdr:rowOff>
    </xdr:from>
    <xdr:ext cx="360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5"/>
  <sheetViews>
    <sheetView showGridLines="0" tabSelected="1" workbookViewId="0">
      <selection activeCell="A2" sqref="A2"/>
    </sheetView>
  </sheetViews>
  <sheetFormatPr baseColWidth="10" defaultColWidth="8.7265625" defaultRowHeight="14.5"/>
  <cols>
    <col min="1" max="1" width="8" customWidth="1"/>
    <col min="2" max="2" width="11" customWidth="1"/>
    <col min="3" max="3" width="15" customWidth="1"/>
    <col min="4" max="4" width="11" customWidth="1"/>
    <col min="5" max="6" width="14" customWidth="1"/>
    <col min="7" max="7" width="11" customWidth="1"/>
    <col min="8" max="8" width="14" customWidth="1"/>
    <col min="10" max="10" width="22" customWidth="1"/>
    <col min="11" max="11" width="14" customWidth="1"/>
    <col min="14" max="14" width="22" customWidth="1"/>
    <col min="15" max="15" width="14" customWidth="1"/>
    <col min="18" max="18" width="22" customWidth="1"/>
    <col min="19" max="19" width="14" customWidth="1"/>
    <col min="23" max="23" width="12.90625" customWidth="1"/>
    <col min="25" max="25" width="12.6328125" customWidth="1"/>
  </cols>
  <sheetData>
    <row r="1" spans="1:25" ht="26">
      <c r="A1" s="1" t="s">
        <v>55</v>
      </c>
    </row>
    <row r="2" spans="1:25" ht="17.5">
      <c r="A2" s="2" t="s">
        <v>0</v>
      </c>
    </row>
    <row r="4" spans="1:25" ht="16.5">
      <c r="J4" s="3" t="s">
        <v>1</v>
      </c>
      <c r="N4" s="3" t="s">
        <v>2</v>
      </c>
      <c r="R4" s="3" t="s">
        <v>3</v>
      </c>
      <c r="W4" s="4" t="s">
        <v>52</v>
      </c>
      <c r="X4" s="4" t="s">
        <v>53</v>
      </c>
      <c r="Y4" s="4" t="s">
        <v>54</v>
      </c>
    </row>
    <row r="5" spans="1:25" ht="16.5">
      <c r="A5" s="4" t="s">
        <v>4</v>
      </c>
      <c r="B5" s="5" t="s">
        <v>5</v>
      </c>
      <c r="C5" s="5" t="s">
        <v>6</v>
      </c>
      <c r="D5" s="6" t="s">
        <v>7</v>
      </c>
      <c r="E5" s="6" t="s">
        <v>8</v>
      </c>
      <c r="F5" s="6" t="s">
        <v>9</v>
      </c>
      <c r="G5" s="7" t="s">
        <v>10</v>
      </c>
      <c r="H5" s="7" t="s">
        <v>11</v>
      </c>
      <c r="J5" s="4" t="s">
        <v>12</v>
      </c>
      <c r="K5" s="4" t="s">
        <v>13</v>
      </c>
      <c r="N5" s="4" t="s">
        <v>14</v>
      </c>
      <c r="O5" s="4" t="s">
        <v>15</v>
      </c>
      <c r="R5" s="4" t="s">
        <v>14</v>
      </c>
      <c r="S5" s="4" t="s">
        <v>15</v>
      </c>
      <c r="W5">
        <v>0</v>
      </c>
      <c r="X5">
        <v>0</v>
      </c>
      <c r="Y5">
        <f>_xlfn.POISSON.DIST(X5, $S$6, TRUE)</f>
        <v>6.1442123533282098E-6</v>
      </c>
    </row>
    <row r="6" spans="1:25" ht="16">
      <c r="A6" s="8">
        <v>1</v>
      </c>
      <c r="B6" s="9">
        <f t="shared" ref="B6:B69" ca="1" si="0">RAND()</f>
        <v>0.88962796566330926</v>
      </c>
      <c r="C6" s="10" t="str">
        <f t="shared" ref="C6:C69" ca="1" si="1">VLOOKUP(B6, $J$6:$K$8, 2, TRUE)</f>
        <v>Checkout</v>
      </c>
      <c r="D6" s="9">
        <f t="shared" ref="D6:D69" ca="1" si="2">RAND()</f>
        <v>0.65728443162916894</v>
      </c>
      <c r="E6" s="10">
        <f t="shared" ref="E6:E69" ca="1" si="3">INT(D6*($O$7-$O$6+1))+$O$6</f>
        <v>4</v>
      </c>
      <c r="F6" s="10">
        <f t="shared" ref="F6:F69" ca="1" si="4">RANDBETWEEN($O$6, $O$7)</f>
        <v>3</v>
      </c>
      <c r="G6" s="9">
        <f t="shared" ref="G6:G69" ca="1" si="5">RAND()</f>
        <v>0.28745696221343686</v>
      </c>
      <c r="H6" s="10">
        <f t="shared" ref="H6:H69" ca="1" si="6">VLOOKUP(G6, $W$5:$X$39, 2, TRUE)</f>
        <v>10</v>
      </c>
      <c r="J6" s="11">
        <v>0</v>
      </c>
      <c r="K6" s="12" t="s">
        <v>16</v>
      </c>
      <c r="N6" s="12" t="s">
        <v>17</v>
      </c>
      <c r="O6" s="13">
        <v>1</v>
      </c>
      <c r="R6" s="12" t="s">
        <v>18</v>
      </c>
      <c r="S6" s="13">
        <v>12</v>
      </c>
      <c r="W6">
        <f t="shared" ref="W6:W39" si="7">Y5</f>
        <v>6.1442123533282098E-6</v>
      </c>
      <c r="X6">
        <v>1</v>
      </c>
      <c r="Y6">
        <f t="shared" ref="Y6:Y39" si="8">_xlfn.POISSON.DIST(X6, $S$6, TRUE)</f>
        <v>7.9874760593266728E-5</v>
      </c>
    </row>
    <row r="7" spans="1:25" ht="16">
      <c r="A7" s="8">
        <v>2</v>
      </c>
      <c r="B7" s="14">
        <f t="shared" ca="1" si="0"/>
        <v>2.1862186426378827E-2</v>
      </c>
      <c r="C7" s="8" t="str">
        <f t="shared" ca="1" si="1"/>
        <v>Navegación</v>
      </c>
      <c r="D7" s="14">
        <f t="shared" ca="1" si="2"/>
        <v>0.33539327173023337</v>
      </c>
      <c r="E7" s="8">
        <f t="shared" ca="1" si="3"/>
        <v>2</v>
      </c>
      <c r="F7" s="8">
        <f t="shared" ca="1" si="4"/>
        <v>3</v>
      </c>
      <c r="G7" s="14">
        <f t="shared" ca="1" si="5"/>
        <v>0.7319479032911248</v>
      </c>
      <c r="H7" s="8">
        <f t="shared" ca="1" si="6"/>
        <v>14</v>
      </c>
      <c r="J7" s="11">
        <v>0.55000000000000004</v>
      </c>
      <c r="K7" s="12" t="s">
        <v>19</v>
      </c>
      <c r="N7" s="12" t="s">
        <v>20</v>
      </c>
      <c r="O7" s="13">
        <v>5</v>
      </c>
      <c r="W7">
        <f t="shared" si="7"/>
        <v>7.9874760593266728E-5</v>
      </c>
      <c r="X7">
        <v>2</v>
      </c>
      <c r="Y7">
        <f t="shared" si="8"/>
        <v>5.222580500328978E-4</v>
      </c>
    </row>
    <row r="8" spans="1:25" ht="16">
      <c r="A8" s="8">
        <v>3</v>
      </c>
      <c r="B8" s="9">
        <f t="shared" ca="1" si="0"/>
        <v>0.24971307830630296</v>
      </c>
      <c r="C8" s="10" t="str">
        <f t="shared" ca="1" si="1"/>
        <v>Navegación</v>
      </c>
      <c r="D8" s="9">
        <f t="shared" ca="1" si="2"/>
        <v>0.33750810402166131</v>
      </c>
      <c r="E8" s="10">
        <f t="shared" ca="1" si="3"/>
        <v>2</v>
      </c>
      <c r="F8" s="10">
        <f t="shared" ca="1" si="4"/>
        <v>2</v>
      </c>
      <c r="G8" s="9">
        <f t="shared" ca="1" si="5"/>
        <v>0.17148443517402889</v>
      </c>
      <c r="H8" s="10">
        <f t="shared" ca="1" si="6"/>
        <v>9</v>
      </c>
      <c r="J8" s="11">
        <v>0.85</v>
      </c>
      <c r="K8" s="12" t="s">
        <v>21</v>
      </c>
      <c r="W8">
        <f t="shared" si="7"/>
        <v>5.222580500328978E-4</v>
      </c>
      <c r="X8">
        <v>3</v>
      </c>
      <c r="Y8">
        <f t="shared" si="8"/>
        <v>2.2917912077914221E-3</v>
      </c>
    </row>
    <row r="9" spans="1:25" ht="16.5">
      <c r="A9" s="8">
        <v>4</v>
      </c>
      <c r="B9" s="14">
        <f t="shared" ca="1" si="0"/>
        <v>0.52047144006245782</v>
      </c>
      <c r="C9" s="8" t="str">
        <f t="shared" ca="1" si="1"/>
        <v>Navegación</v>
      </c>
      <c r="D9" s="14">
        <f t="shared" ca="1" si="2"/>
        <v>0.90287228913171724</v>
      </c>
      <c r="E9" s="8">
        <f t="shared" ca="1" si="3"/>
        <v>5</v>
      </c>
      <c r="F9" s="8">
        <f t="shared" ca="1" si="4"/>
        <v>5</v>
      </c>
      <c r="G9" s="14">
        <f t="shared" ca="1" si="5"/>
        <v>0.42599674742160787</v>
      </c>
      <c r="H9" s="8">
        <f t="shared" ca="1" si="6"/>
        <v>11</v>
      </c>
      <c r="N9" s="4" t="s">
        <v>22</v>
      </c>
      <c r="O9" s="4" t="s">
        <v>23</v>
      </c>
      <c r="R9" s="4" t="s">
        <v>24</v>
      </c>
      <c r="S9" s="4" t="s">
        <v>25</v>
      </c>
      <c r="W9">
        <f t="shared" si="7"/>
        <v>2.2917912077914221E-3</v>
      </c>
      <c r="X9">
        <v>4</v>
      </c>
      <c r="Y9">
        <f t="shared" si="8"/>
        <v>7.6003906810669956E-3</v>
      </c>
    </row>
    <row r="10" spans="1:25" ht="16.5">
      <c r="A10" s="8">
        <v>5</v>
      </c>
      <c r="B10" s="9">
        <f t="shared" ca="1" si="0"/>
        <v>0.75506192011545892</v>
      </c>
      <c r="C10" s="10" t="str">
        <f t="shared" ca="1" si="1"/>
        <v>Carrito</v>
      </c>
      <c r="D10" s="9">
        <f t="shared" ca="1" si="2"/>
        <v>0.75517474281634744</v>
      </c>
      <c r="E10" s="10">
        <f t="shared" ca="1" si="3"/>
        <v>4</v>
      </c>
      <c r="F10" s="10">
        <f t="shared" ca="1" si="4"/>
        <v>4</v>
      </c>
      <c r="G10" s="9">
        <f t="shared" ca="1" si="5"/>
        <v>0.7436692401782582</v>
      </c>
      <c r="H10" s="10">
        <f t="shared" ca="1" si="6"/>
        <v>14</v>
      </c>
      <c r="J10" s="4" t="s">
        <v>13</v>
      </c>
      <c r="K10" s="4" t="s">
        <v>25</v>
      </c>
      <c r="N10" s="12" t="s">
        <v>26</v>
      </c>
      <c r="O10" s="13">
        <f ca="1">COUNTIF($E$6:$E$1005, 1)</f>
        <v>201</v>
      </c>
      <c r="R10" s="12" t="s">
        <v>27</v>
      </c>
      <c r="S10" s="13">
        <f ca="1">COUNTIFS($H$6:$H$1005, "&gt;="&amp;0, $H$6:$H$1005, "&lt;="&amp;5)</f>
        <v>24</v>
      </c>
      <c r="W10">
        <f t="shared" si="7"/>
        <v>7.6003906810669956E-3</v>
      </c>
      <c r="X10">
        <v>5</v>
      </c>
      <c r="Y10">
        <f t="shared" si="8"/>
        <v>2.0341029416928367E-2</v>
      </c>
    </row>
    <row r="11" spans="1:25" ht="16">
      <c r="A11" s="8">
        <v>6</v>
      </c>
      <c r="B11" s="14">
        <f t="shared" ca="1" si="0"/>
        <v>0.24708073301239641</v>
      </c>
      <c r="C11" s="8" t="str">
        <f t="shared" ca="1" si="1"/>
        <v>Navegación</v>
      </c>
      <c r="D11" s="14">
        <f t="shared" ca="1" si="2"/>
        <v>0.20521152880055915</v>
      </c>
      <c r="E11" s="8">
        <f t="shared" ca="1" si="3"/>
        <v>2</v>
      </c>
      <c r="F11" s="8">
        <f t="shared" ca="1" si="4"/>
        <v>1</v>
      </c>
      <c r="G11" s="14">
        <f t="shared" ca="1" si="5"/>
        <v>0.46648469264055137</v>
      </c>
      <c r="H11" s="8">
        <f t="shared" ca="1" si="6"/>
        <v>12</v>
      </c>
      <c r="J11" s="12" t="s">
        <v>16</v>
      </c>
      <c r="K11" s="13">
        <f ca="1">COUNTIF($C$6:$C$1005, "Navegación")</f>
        <v>548</v>
      </c>
      <c r="N11" s="12" t="s">
        <v>28</v>
      </c>
      <c r="O11" s="13">
        <f ca="1">COUNTIF($E$6:$E$1005, 2)</f>
        <v>190</v>
      </c>
      <c r="R11" s="12" t="s">
        <v>29</v>
      </c>
      <c r="S11" s="13">
        <f ca="1">COUNTIFS($H$6:$H$1005, "&gt;="&amp;6, $H$6:$H$1005, "&lt;="&amp;8)</f>
        <v>130</v>
      </c>
      <c r="W11">
        <f t="shared" si="7"/>
        <v>2.0341029416928367E-2</v>
      </c>
      <c r="X11">
        <v>6</v>
      </c>
      <c r="Y11">
        <f t="shared" si="8"/>
        <v>4.5822306888651132E-2</v>
      </c>
    </row>
    <row r="12" spans="1:25" ht="16">
      <c r="A12" s="8">
        <v>7</v>
      </c>
      <c r="B12" s="9">
        <f t="shared" ca="1" si="0"/>
        <v>0.13722582804080286</v>
      </c>
      <c r="C12" s="10" t="str">
        <f t="shared" ca="1" si="1"/>
        <v>Navegación</v>
      </c>
      <c r="D12" s="9">
        <f t="shared" ca="1" si="2"/>
        <v>0.22124015987928802</v>
      </c>
      <c r="E12" s="10">
        <f t="shared" ca="1" si="3"/>
        <v>2</v>
      </c>
      <c r="F12" s="10">
        <f t="shared" ca="1" si="4"/>
        <v>5</v>
      </c>
      <c r="G12" s="9">
        <f t="shared" ca="1" si="5"/>
        <v>0.54928837278634557</v>
      </c>
      <c r="H12" s="10">
        <f t="shared" ca="1" si="6"/>
        <v>12</v>
      </c>
      <c r="J12" s="12" t="s">
        <v>19</v>
      </c>
      <c r="K12" s="13">
        <f ca="1">COUNTIF($C$6:$C$1005, "Carrito")</f>
        <v>295</v>
      </c>
      <c r="N12" s="12" t="s">
        <v>30</v>
      </c>
      <c r="O12" s="13">
        <f ca="1">COUNTIF($E$6:$E$1005, 3)</f>
        <v>212</v>
      </c>
      <c r="R12" s="12" t="s">
        <v>31</v>
      </c>
      <c r="S12" s="13">
        <f ca="1">COUNTIFS($H$6:$H$1005, "&gt;="&amp;9, $H$6:$H$1005, "&lt;="&amp;11)</f>
        <v>305</v>
      </c>
      <c r="W12">
        <f t="shared" si="7"/>
        <v>4.5822306888651132E-2</v>
      </c>
      <c r="X12">
        <v>7</v>
      </c>
      <c r="Y12">
        <f t="shared" si="8"/>
        <v>8.9504496840175862E-2</v>
      </c>
    </row>
    <row r="13" spans="1:25" ht="16">
      <c r="A13" s="8">
        <v>8</v>
      </c>
      <c r="B13" s="14">
        <f t="shared" ca="1" si="0"/>
        <v>0.52452109534521818</v>
      </c>
      <c r="C13" s="8" t="str">
        <f t="shared" ca="1" si="1"/>
        <v>Navegación</v>
      </c>
      <c r="D13" s="14">
        <f t="shared" ca="1" si="2"/>
        <v>0.93398786074812168</v>
      </c>
      <c r="E13" s="8">
        <f t="shared" ca="1" si="3"/>
        <v>5</v>
      </c>
      <c r="F13" s="8">
        <f t="shared" ca="1" si="4"/>
        <v>5</v>
      </c>
      <c r="G13" s="14">
        <f t="shared" ca="1" si="5"/>
        <v>0.79992023696887127</v>
      </c>
      <c r="H13" s="8">
        <f t="shared" ca="1" si="6"/>
        <v>15</v>
      </c>
      <c r="J13" s="12" t="s">
        <v>21</v>
      </c>
      <c r="K13" s="13">
        <f ca="1">COUNTIF($C$6:$C$1005, "Checkout")</f>
        <v>157</v>
      </c>
      <c r="N13" s="12" t="s">
        <v>32</v>
      </c>
      <c r="O13" s="13">
        <f ca="1">COUNTIF($E$6:$E$1005, 4)</f>
        <v>210</v>
      </c>
      <c r="R13" s="12" t="s">
        <v>33</v>
      </c>
      <c r="S13" s="13">
        <f ca="1">COUNTIFS($H$6:$H$1005, "&gt;="&amp;12, $H$6:$H$1005, "&lt;="&amp;14)</f>
        <v>322</v>
      </c>
      <c r="W13">
        <f t="shared" si="7"/>
        <v>8.9504496840175862E-2</v>
      </c>
      <c r="X13">
        <v>8</v>
      </c>
      <c r="Y13">
        <f t="shared" si="8"/>
        <v>0.15502778176746293</v>
      </c>
    </row>
    <row r="14" spans="1:25" ht="16">
      <c r="A14" s="8">
        <v>9</v>
      </c>
      <c r="B14" s="9">
        <f t="shared" ca="1" si="0"/>
        <v>0.68588729974320584</v>
      </c>
      <c r="C14" s="10" t="str">
        <f t="shared" ca="1" si="1"/>
        <v>Carrito</v>
      </c>
      <c r="D14" s="9">
        <f t="shared" ca="1" si="2"/>
        <v>0.72083954433995967</v>
      </c>
      <c r="E14" s="10">
        <f t="shared" ca="1" si="3"/>
        <v>4</v>
      </c>
      <c r="F14" s="10">
        <f t="shared" ca="1" si="4"/>
        <v>5</v>
      </c>
      <c r="G14" s="9">
        <f t="shared" ca="1" si="5"/>
        <v>0.89145634678794539</v>
      </c>
      <c r="H14" s="10">
        <f t="shared" ca="1" si="6"/>
        <v>16</v>
      </c>
      <c r="N14" s="12" t="s">
        <v>34</v>
      </c>
      <c r="O14" s="13">
        <f ca="1">COUNTIF($E$6:$E$1005, 5)</f>
        <v>187</v>
      </c>
      <c r="R14" s="12" t="s">
        <v>35</v>
      </c>
      <c r="S14" s="13">
        <f ca="1">COUNTIFS($H$6:$H$1005, "&gt;="&amp;15, $H$6:$H$1005, "&lt;="&amp;17)</f>
        <v>154</v>
      </c>
      <c r="W14">
        <f t="shared" si="7"/>
        <v>0.15502778176746293</v>
      </c>
      <c r="X14">
        <v>9</v>
      </c>
      <c r="Y14">
        <f t="shared" si="8"/>
        <v>0.24239216167051239</v>
      </c>
    </row>
    <row r="15" spans="1:25" ht="16.5">
      <c r="A15" s="8">
        <v>10</v>
      </c>
      <c r="B15" s="14">
        <f t="shared" ca="1" si="0"/>
        <v>5.6501745912258539E-2</v>
      </c>
      <c r="C15" s="8" t="str">
        <f t="shared" ca="1" si="1"/>
        <v>Navegación</v>
      </c>
      <c r="D15" s="14">
        <f t="shared" ca="1" si="2"/>
        <v>0.44359291098433984</v>
      </c>
      <c r="E15" s="8">
        <f t="shared" ca="1" si="3"/>
        <v>3</v>
      </c>
      <c r="F15" s="8">
        <f t="shared" ca="1" si="4"/>
        <v>5</v>
      </c>
      <c r="G15" s="14">
        <f t="shared" ca="1" si="5"/>
        <v>0.64197668300497923</v>
      </c>
      <c r="H15" s="8">
        <f t="shared" ca="1" si="6"/>
        <v>13</v>
      </c>
      <c r="J15" s="15" t="s">
        <v>36</v>
      </c>
      <c r="K15" s="15" t="s">
        <v>37</v>
      </c>
      <c r="N15" s="15" t="s">
        <v>38</v>
      </c>
      <c r="O15" s="15" t="s">
        <v>37</v>
      </c>
      <c r="R15" s="12" t="s">
        <v>39</v>
      </c>
      <c r="S15" s="13">
        <f ca="1">COUNTIFS($H$6:$H$1005, "&gt;="&amp;18, $H$6:$H$1005, "&lt;="&amp;20)</f>
        <v>52</v>
      </c>
      <c r="W15">
        <f t="shared" si="7"/>
        <v>0.24239216167051239</v>
      </c>
      <c r="X15">
        <v>10</v>
      </c>
      <c r="Y15">
        <f t="shared" si="8"/>
        <v>0.34722941755417158</v>
      </c>
    </row>
    <row r="16" spans="1:25" ht="16">
      <c r="A16" s="8">
        <v>11</v>
      </c>
      <c r="B16" s="9">
        <f t="shared" ca="1" si="0"/>
        <v>0.43807848587103793</v>
      </c>
      <c r="C16" s="10" t="str">
        <f t="shared" ca="1" si="1"/>
        <v>Navegación</v>
      </c>
      <c r="D16" s="9">
        <f t="shared" ca="1" si="2"/>
        <v>0.52359519163611778</v>
      </c>
      <c r="E16" s="10">
        <f t="shared" ca="1" si="3"/>
        <v>3</v>
      </c>
      <c r="F16" s="10">
        <f t="shared" ca="1" si="4"/>
        <v>4</v>
      </c>
      <c r="G16" s="9">
        <f t="shared" ca="1" si="5"/>
        <v>0.54811264527577896</v>
      </c>
      <c r="H16" s="10">
        <f t="shared" ca="1" si="6"/>
        <v>12</v>
      </c>
      <c r="J16" s="16" t="s">
        <v>40</v>
      </c>
      <c r="K16" s="17">
        <v>0.55000000000000004</v>
      </c>
      <c r="N16" s="16" t="s">
        <v>41</v>
      </c>
      <c r="O16" s="17">
        <f>1/($O$7-$O$6+1)</f>
        <v>0.2</v>
      </c>
      <c r="R16" s="12" t="s">
        <v>42</v>
      </c>
      <c r="S16" s="13">
        <f ca="1">COUNTIF($H$6:$H$1005, "&gt;20")</f>
        <v>13</v>
      </c>
      <c r="W16">
        <f t="shared" si="7"/>
        <v>0.34722941755417158</v>
      </c>
      <c r="X16">
        <v>11</v>
      </c>
      <c r="Y16">
        <f t="shared" si="8"/>
        <v>0.46159733306361805</v>
      </c>
    </row>
    <row r="17" spans="1:25" ht="16">
      <c r="A17" s="8">
        <v>12</v>
      </c>
      <c r="B17" s="14">
        <f t="shared" ca="1" si="0"/>
        <v>0.16461069960702102</v>
      </c>
      <c r="C17" s="8" t="str">
        <f t="shared" ca="1" si="1"/>
        <v>Navegación</v>
      </c>
      <c r="D17" s="14">
        <f t="shared" ca="1" si="2"/>
        <v>1.410801404774753E-2</v>
      </c>
      <c r="E17" s="8">
        <f t="shared" ca="1" si="3"/>
        <v>1</v>
      </c>
      <c r="F17" s="8">
        <f t="shared" ca="1" si="4"/>
        <v>2</v>
      </c>
      <c r="G17" s="14">
        <f t="shared" ca="1" si="5"/>
        <v>0.49020856556832837</v>
      </c>
      <c r="H17" s="8">
        <f t="shared" ca="1" si="6"/>
        <v>12</v>
      </c>
      <c r="J17" s="16" t="s">
        <v>43</v>
      </c>
      <c r="K17" s="17">
        <f ca="1">COUNTIF($C$6:$C$1005, "Navegación")/1000</f>
        <v>0.54800000000000004</v>
      </c>
      <c r="N17" s="16" t="s">
        <v>44</v>
      </c>
      <c r="O17" s="17">
        <f ca="1">COUNTIF($E$6:$E$1005, 1)/1000</f>
        <v>0.20100000000000001</v>
      </c>
      <c r="W17">
        <f t="shared" si="7"/>
        <v>0.46159733306361805</v>
      </c>
      <c r="X17">
        <v>12</v>
      </c>
      <c r="Y17">
        <f t="shared" si="8"/>
        <v>0.57596524857306464</v>
      </c>
    </row>
    <row r="18" spans="1:25" ht="16.5">
      <c r="A18" s="8">
        <v>13</v>
      </c>
      <c r="B18" s="9">
        <f t="shared" ca="1" si="0"/>
        <v>0.91174933216429555</v>
      </c>
      <c r="C18" s="10" t="str">
        <f t="shared" ca="1" si="1"/>
        <v>Checkout</v>
      </c>
      <c r="D18" s="9">
        <f t="shared" ca="1" si="2"/>
        <v>0.41689487806646386</v>
      </c>
      <c r="E18" s="10">
        <f t="shared" ca="1" si="3"/>
        <v>3</v>
      </c>
      <c r="F18" s="10">
        <f t="shared" ca="1" si="4"/>
        <v>5</v>
      </c>
      <c r="G18" s="9">
        <f t="shared" ca="1" si="5"/>
        <v>3.5986708101467979E-2</v>
      </c>
      <c r="H18" s="10">
        <f t="shared" ca="1" si="6"/>
        <v>6</v>
      </c>
      <c r="J18" s="18" t="s">
        <v>45</v>
      </c>
      <c r="K18" s="19">
        <f ca="1">ABS(K16-K17)</f>
        <v>2.0000000000000018E-3</v>
      </c>
      <c r="N18" s="16" t="s">
        <v>46</v>
      </c>
      <c r="O18" s="17">
        <f ca="1">COUNTIF($F$6:$F$1005, 1)/1000</f>
        <v>0.21</v>
      </c>
      <c r="R18" s="15" t="s">
        <v>47</v>
      </c>
      <c r="S18" s="15" t="s">
        <v>37</v>
      </c>
      <c r="W18">
        <f t="shared" si="7"/>
        <v>0.57596524857306464</v>
      </c>
      <c r="X18">
        <v>13</v>
      </c>
      <c r="Y18">
        <f t="shared" si="8"/>
        <v>0.68153563212024593</v>
      </c>
    </row>
    <row r="19" spans="1:25" ht="16">
      <c r="A19" s="8">
        <v>14</v>
      </c>
      <c r="B19" s="14">
        <f t="shared" ca="1" si="0"/>
        <v>2.6009449570958076E-2</v>
      </c>
      <c r="C19" s="8" t="str">
        <f t="shared" ca="1" si="1"/>
        <v>Navegación</v>
      </c>
      <c r="D19" s="14">
        <f t="shared" ca="1" si="2"/>
        <v>0.8364660535274776</v>
      </c>
      <c r="E19" s="8">
        <f t="shared" ca="1" si="3"/>
        <v>5</v>
      </c>
      <c r="F19" s="8">
        <f t="shared" ca="1" si="4"/>
        <v>1</v>
      </c>
      <c r="G19" s="14">
        <f t="shared" ca="1" si="5"/>
        <v>0.75580225596767159</v>
      </c>
      <c r="H19" s="8">
        <f t="shared" ca="1" si="6"/>
        <v>14</v>
      </c>
      <c r="R19" s="16" t="s">
        <v>48</v>
      </c>
      <c r="S19" s="20">
        <f>$S$6</f>
        <v>12</v>
      </c>
      <c r="W19">
        <f t="shared" si="7"/>
        <v>0.68153563212024593</v>
      </c>
      <c r="X19">
        <v>14</v>
      </c>
      <c r="Y19">
        <f t="shared" si="8"/>
        <v>0.77202453230354462</v>
      </c>
    </row>
    <row r="20" spans="1:25" ht="16">
      <c r="A20" s="8">
        <v>15</v>
      </c>
      <c r="B20" s="9">
        <f t="shared" ca="1" si="0"/>
        <v>0.14534716397996394</v>
      </c>
      <c r="C20" s="10" t="str">
        <f t="shared" ca="1" si="1"/>
        <v>Navegación</v>
      </c>
      <c r="D20" s="9">
        <f t="shared" ca="1" si="2"/>
        <v>0.16521404647971571</v>
      </c>
      <c r="E20" s="10">
        <f t="shared" ca="1" si="3"/>
        <v>1</v>
      </c>
      <c r="F20" s="10">
        <f t="shared" ca="1" si="4"/>
        <v>2</v>
      </c>
      <c r="G20" s="9">
        <f t="shared" ca="1" si="5"/>
        <v>0.62455874908426734</v>
      </c>
      <c r="H20" s="10">
        <f t="shared" ca="1" si="6"/>
        <v>13</v>
      </c>
      <c r="R20" s="16" t="s">
        <v>49</v>
      </c>
      <c r="S20" s="20">
        <f ca="1">AVERAGE($H$6:$H$1005)</f>
        <v>11.959</v>
      </c>
      <c r="W20">
        <f t="shared" si="7"/>
        <v>0.77202453230354462</v>
      </c>
      <c r="X20">
        <v>15</v>
      </c>
      <c r="Y20">
        <f t="shared" si="8"/>
        <v>0.84441565245018313</v>
      </c>
    </row>
    <row r="21" spans="1:25" ht="16">
      <c r="A21" s="8">
        <v>16</v>
      </c>
      <c r="B21" s="14">
        <f t="shared" ca="1" si="0"/>
        <v>0.36104461985043024</v>
      </c>
      <c r="C21" s="8" t="str">
        <f t="shared" ca="1" si="1"/>
        <v>Navegación</v>
      </c>
      <c r="D21" s="14">
        <f t="shared" ca="1" si="2"/>
        <v>0.52671022847625493</v>
      </c>
      <c r="E21" s="8">
        <f t="shared" ca="1" si="3"/>
        <v>3</v>
      </c>
      <c r="F21" s="8">
        <f t="shared" ca="1" si="4"/>
        <v>1</v>
      </c>
      <c r="G21" s="14">
        <f t="shared" ca="1" si="5"/>
        <v>0.66599371445221744</v>
      </c>
      <c r="H21" s="8">
        <f t="shared" ca="1" si="6"/>
        <v>13</v>
      </c>
      <c r="R21" s="16" t="s">
        <v>50</v>
      </c>
      <c r="S21" s="20">
        <f ca="1">_xlfn.VAR.S($H$6:$H$1005)</f>
        <v>12.103422422422412</v>
      </c>
      <c r="W21">
        <f t="shared" si="7"/>
        <v>0.84441565245018313</v>
      </c>
      <c r="X21">
        <v>16</v>
      </c>
      <c r="Y21">
        <f t="shared" si="8"/>
        <v>0.89870899256016212</v>
      </c>
    </row>
    <row r="22" spans="1:25" ht="16">
      <c r="A22" s="8">
        <v>17</v>
      </c>
      <c r="B22" s="9">
        <f t="shared" ca="1" si="0"/>
        <v>0.96269580120919573</v>
      </c>
      <c r="C22" s="10" t="str">
        <f t="shared" ca="1" si="1"/>
        <v>Checkout</v>
      </c>
      <c r="D22" s="9">
        <f t="shared" ca="1" si="2"/>
        <v>0.24806116677320078</v>
      </c>
      <c r="E22" s="10">
        <f t="shared" ca="1" si="3"/>
        <v>2</v>
      </c>
      <c r="F22" s="10">
        <f t="shared" ca="1" si="4"/>
        <v>2</v>
      </c>
      <c r="G22" s="9">
        <f t="shared" ca="1" si="5"/>
        <v>0.90036876750628492</v>
      </c>
      <c r="H22" s="10">
        <f t="shared" ca="1" si="6"/>
        <v>17</v>
      </c>
      <c r="R22" s="18" t="s">
        <v>51</v>
      </c>
      <c r="S22" s="19">
        <f ca="1">ABS(S19-S20)/S19</f>
        <v>3.4166666666666976E-3</v>
      </c>
      <c r="W22">
        <f t="shared" si="7"/>
        <v>0.89870899256016212</v>
      </c>
      <c r="X22">
        <v>17</v>
      </c>
      <c r="Y22">
        <f t="shared" si="8"/>
        <v>0.93703370322602975</v>
      </c>
    </row>
    <row r="23" spans="1:25">
      <c r="A23" s="8">
        <v>18</v>
      </c>
      <c r="B23" s="14">
        <f t="shared" ca="1" si="0"/>
        <v>0.86129719418998241</v>
      </c>
      <c r="C23" s="8" t="str">
        <f t="shared" ca="1" si="1"/>
        <v>Checkout</v>
      </c>
      <c r="D23" s="14">
        <f t="shared" ca="1" si="2"/>
        <v>0.6177975332844462</v>
      </c>
      <c r="E23" s="8">
        <f t="shared" ca="1" si="3"/>
        <v>4</v>
      </c>
      <c r="F23" s="8">
        <f t="shared" ca="1" si="4"/>
        <v>5</v>
      </c>
      <c r="G23" s="14">
        <f t="shared" ca="1" si="5"/>
        <v>1.9530468352697228E-2</v>
      </c>
      <c r="H23" s="8">
        <f t="shared" ca="1" si="6"/>
        <v>5</v>
      </c>
      <c r="W23">
        <f t="shared" si="7"/>
        <v>0.93703370322602975</v>
      </c>
      <c r="X23">
        <v>18</v>
      </c>
      <c r="Y23">
        <f t="shared" si="8"/>
        <v>0.96258351033660805</v>
      </c>
    </row>
    <row r="24" spans="1:25">
      <c r="A24" s="8">
        <v>19</v>
      </c>
      <c r="B24" s="9">
        <f t="shared" ca="1" si="0"/>
        <v>0.90376991156905429</v>
      </c>
      <c r="C24" s="10" t="str">
        <f t="shared" ca="1" si="1"/>
        <v>Checkout</v>
      </c>
      <c r="D24" s="9">
        <f t="shared" ca="1" si="2"/>
        <v>0.49977487884850313</v>
      </c>
      <c r="E24" s="10">
        <f t="shared" ca="1" si="3"/>
        <v>3</v>
      </c>
      <c r="F24" s="10">
        <f t="shared" ca="1" si="4"/>
        <v>1</v>
      </c>
      <c r="G24" s="9">
        <f t="shared" ca="1" si="5"/>
        <v>0.53593821951422349</v>
      </c>
      <c r="H24" s="10">
        <f t="shared" ca="1" si="6"/>
        <v>12</v>
      </c>
      <c r="W24">
        <f t="shared" si="7"/>
        <v>0.96258351033660805</v>
      </c>
      <c r="X24">
        <v>19</v>
      </c>
      <c r="Y24">
        <f t="shared" si="8"/>
        <v>0.97872023061697333</v>
      </c>
    </row>
    <row r="25" spans="1:25">
      <c r="A25" s="8">
        <v>20</v>
      </c>
      <c r="B25" s="14">
        <f t="shared" ca="1" si="0"/>
        <v>0.69905470682888138</v>
      </c>
      <c r="C25" s="8" t="str">
        <f t="shared" ca="1" si="1"/>
        <v>Carrito</v>
      </c>
      <c r="D25" s="14">
        <f t="shared" ca="1" si="2"/>
        <v>0.43911256851408675</v>
      </c>
      <c r="E25" s="8">
        <f t="shared" ca="1" si="3"/>
        <v>3</v>
      </c>
      <c r="F25" s="8">
        <f t="shared" ca="1" si="4"/>
        <v>4</v>
      </c>
      <c r="G25" s="14">
        <f t="shared" ca="1" si="5"/>
        <v>0.27040213555365522</v>
      </c>
      <c r="H25" s="8">
        <f t="shared" ca="1" si="6"/>
        <v>10</v>
      </c>
      <c r="W25">
        <f t="shared" si="7"/>
        <v>0.97872023061697333</v>
      </c>
      <c r="X25">
        <v>20</v>
      </c>
      <c r="Y25">
        <f t="shared" si="8"/>
        <v>0.9884022627851925</v>
      </c>
    </row>
    <row r="26" spans="1:25">
      <c r="A26" s="8">
        <v>21</v>
      </c>
      <c r="B26" s="9">
        <f t="shared" ca="1" si="0"/>
        <v>7.2692776031618722E-2</v>
      </c>
      <c r="C26" s="10" t="str">
        <f t="shared" ca="1" si="1"/>
        <v>Navegación</v>
      </c>
      <c r="D26" s="9">
        <f t="shared" ca="1" si="2"/>
        <v>0.2666598777447976</v>
      </c>
      <c r="E26" s="10">
        <f t="shared" ca="1" si="3"/>
        <v>2</v>
      </c>
      <c r="F26" s="10">
        <f t="shared" ca="1" si="4"/>
        <v>5</v>
      </c>
      <c r="G26" s="9">
        <f t="shared" ca="1" si="5"/>
        <v>3.03860155815463E-2</v>
      </c>
      <c r="H26" s="10">
        <f t="shared" ca="1" si="6"/>
        <v>6</v>
      </c>
      <c r="W26">
        <f t="shared" si="7"/>
        <v>0.9884022627851925</v>
      </c>
      <c r="X26">
        <v>21</v>
      </c>
      <c r="Y26">
        <f t="shared" si="8"/>
        <v>0.99393485259560355</v>
      </c>
    </row>
    <row r="27" spans="1:25">
      <c r="A27" s="8">
        <v>22</v>
      </c>
      <c r="B27" s="14">
        <f t="shared" ca="1" si="0"/>
        <v>0.60880043781818272</v>
      </c>
      <c r="C27" s="8" t="str">
        <f t="shared" ca="1" si="1"/>
        <v>Carrito</v>
      </c>
      <c r="D27" s="14">
        <f t="shared" ca="1" si="2"/>
        <v>0.75108777948808403</v>
      </c>
      <c r="E27" s="8">
        <f t="shared" ca="1" si="3"/>
        <v>4</v>
      </c>
      <c r="F27" s="8">
        <f t="shared" ca="1" si="4"/>
        <v>5</v>
      </c>
      <c r="G27" s="14">
        <f t="shared" ca="1" si="5"/>
        <v>0.53637209940703368</v>
      </c>
      <c r="H27" s="8">
        <f t="shared" ca="1" si="6"/>
        <v>12</v>
      </c>
      <c r="W27">
        <f t="shared" si="7"/>
        <v>0.99393485259560355</v>
      </c>
      <c r="X27">
        <v>22</v>
      </c>
      <c r="Y27">
        <f t="shared" si="8"/>
        <v>0.99695262885582769</v>
      </c>
    </row>
    <row r="28" spans="1:25">
      <c r="A28" s="8">
        <v>23</v>
      </c>
      <c r="B28" s="9">
        <f t="shared" ca="1" si="0"/>
        <v>0.77661798110850788</v>
      </c>
      <c r="C28" s="10" t="str">
        <f t="shared" ca="1" si="1"/>
        <v>Carrito</v>
      </c>
      <c r="D28" s="9">
        <f t="shared" ca="1" si="2"/>
        <v>0.78172223489552928</v>
      </c>
      <c r="E28" s="10">
        <f t="shared" ca="1" si="3"/>
        <v>4</v>
      </c>
      <c r="F28" s="10">
        <f t="shared" ca="1" si="4"/>
        <v>2</v>
      </c>
      <c r="G28" s="9">
        <f t="shared" ca="1" si="5"/>
        <v>0.17774216084751138</v>
      </c>
      <c r="H28" s="10">
        <f t="shared" ca="1" si="6"/>
        <v>9</v>
      </c>
      <c r="W28">
        <f t="shared" si="7"/>
        <v>0.99695262885582769</v>
      </c>
      <c r="X28">
        <v>23</v>
      </c>
      <c r="Y28">
        <f t="shared" si="8"/>
        <v>0.9985271208176838</v>
      </c>
    </row>
    <row r="29" spans="1:25">
      <c r="A29" s="8">
        <v>24</v>
      </c>
      <c r="B29" s="14">
        <f t="shared" ca="1" si="0"/>
        <v>0.30457795952387701</v>
      </c>
      <c r="C29" s="8" t="str">
        <f t="shared" ca="1" si="1"/>
        <v>Navegación</v>
      </c>
      <c r="D29" s="14">
        <f t="shared" ca="1" si="2"/>
        <v>0.67170024318897115</v>
      </c>
      <c r="E29" s="8">
        <f t="shared" ca="1" si="3"/>
        <v>4</v>
      </c>
      <c r="F29" s="8">
        <f t="shared" ca="1" si="4"/>
        <v>5</v>
      </c>
      <c r="G29" s="14">
        <f t="shared" ca="1" si="5"/>
        <v>0.54752440592454865</v>
      </c>
      <c r="H29" s="8">
        <f t="shared" ca="1" si="6"/>
        <v>12</v>
      </c>
      <c r="W29">
        <f t="shared" si="7"/>
        <v>0.9985271208176838</v>
      </c>
      <c r="X29">
        <v>24</v>
      </c>
      <c r="Y29">
        <f t="shared" si="8"/>
        <v>0.99931436679861174</v>
      </c>
    </row>
    <row r="30" spans="1:25">
      <c r="A30" s="8">
        <v>25</v>
      </c>
      <c r="B30" s="9">
        <f t="shared" ca="1" si="0"/>
        <v>0.13283811954582003</v>
      </c>
      <c r="C30" s="10" t="str">
        <f t="shared" ca="1" si="1"/>
        <v>Navegación</v>
      </c>
      <c r="D30" s="9">
        <f t="shared" ca="1" si="2"/>
        <v>0.17832907606813075</v>
      </c>
      <c r="E30" s="10">
        <f t="shared" ca="1" si="3"/>
        <v>1</v>
      </c>
      <c r="F30" s="10">
        <f t="shared" ca="1" si="4"/>
        <v>3</v>
      </c>
      <c r="G30" s="9">
        <f t="shared" ca="1" si="5"/>
        <v>0.17222907000984977</v>
      </c>
      <c r="H30" s="10">
        <f t="shared" ca="1" si="6"/>
        <v>9</v>
      </c>
      <c r="W30">
        <f t="shared" si="7"/>
        <v>0.99931436679861174</v>
      </c>
      <c r="X30">
        <v>25</v>
      </c>
      <c r="Y30">
        <f t="shared" si="8"/>
        <v>0.99969224486945718</v>
      </c>
    </row>
    <row r="31" spans="1:25">
      <c r="A31" s="8">
        <v>26</v>
      </c>
      <c r="B31" s="14">
        <f t="shared" ca="1" si="0"/>
        <v>0.40982540569642489</v>
      </c>
      <c r="C31" s="8" t="str">
        <f t="shared" ca="1" si="1"/>
        <v>Navegación</v>
      </c>
      <c r="D31" s="14">
        <f t="shared" ca="1" si="2"/>
        <v>0.43749973442525714</v>
      </c>
      <c r="E31" s="8">
        <f t="shared" ca="1" si="3"/>
        <v>3</v>
      </c>
      <c r="F31" s="8">
        <f t="shared" ca="1" si="4"/>
        <v>5</v>
      </c>
      <c r="G31" s="14">
        <f t="shared" ca="1" si="5"/>
        <v>0.45595097125929485</v>
      </c>
      <c r="H31" s="8">
        <f t="shared" ca="1" si="6"/>
        <v>11</v>
      </c>
      <c r="W31">
        <f t="shared" si="7"/>
        <v>0.99969224486945718</v>
      </c>
      <c r="X31">
        <v>26</v>
      </c>
      <c r="Y31">
        <f t="shared" si="8"/>
        <v>0.99986665013292431</v>
      </c>
    </row>
    <row r="32" spans="1:25">
      <c r="A32" s="8">
        <v>27</v>
      </c>
      <c r="B32" s="9">
        <f t="shared" ca="1" si="0"/>
        <v>0.57190431924484852</v>
      </c>
      <c r="C32" s="10" t="str">
        <f t="shared" ca="1" si="1"/>
        <v>Carrito</v>
      </c>
      <c r="D32" s="9">
        <f t="shared" ca="1" si="2"/>
        <v>0.86763835131007006</v>
      </c>
      <c r="E32" s="10">
        <f t="shared" ca="1" si="3"/>
        <v>5</v>
      </c>
      <c r="F32" s="10">
        <f t="shared" ca="1" si="4"/>
        <v>3</v>
      </c>
      <c r="G32" s="9">
        <f t="shared" ca="1" si="5"/>
        <v>0.99168514629571336</v>
      </c>
      <c r="H32" s="10">
        <f t="shared" ca="1" si="6"/>
        <v>21</v>
      </c>
      <c r="W32">
        <f t="shared" si="7"/>
        <v>0.99986665013292431</v>
      </c>
      <c r="X32">
        <v>27</v>
      </c>
      <c r="Y32">
        <f t="shared" si="8"/>
        <v>0.99994416358335414</v>
      </c>
    </row>
    <row r="33" spans="1:25">
      <c r="A33" s="8">
        <v>28</v>
      </c>
      <c r="B33" s="14">
        <f t="shared" ca="1" si="0"/>
        <v>0.31538287001098531</v>
      </c>
      <c r="C33" s="8" t="str">
        <f t="shared" ca="1" si="1"/>
        <v>Navegación</v>
      </c>
      <c r="D33" s="14">
        <f t="shared" ca="1" si="2"/>
        <v>0.47135686695650891</v>
      </c>
      <c r="E33" s="8">
        <f t="shared" ca="1" si="3"/>
        <v>3</v>
      </c>
      <c r="F33" s="8">
        <f t="shared" ca="1" si="4"/>
        <v>2</v>
      </c>
      <c r="G33" s="14">
        <f t="shared" ca="1" si="5"/>
        <v>0.66334485961263867</v>
      </c>
      <c r="H33" s="8">
        <f t="shared" ca="1" si="6"/>
        <v>13</v>
      </c>
      <c r="W33">
        <f t="shared" si="7"/>
        <v>0.99994416358335414</v>
      </c>
      <c r="X33">
        <v>28</v>
      </c>
      <c r="Y33">
        <f t="shared" si="8"/>
        <v>0.99997738363353839</v>
      </c>
    </row>
    <row r="34" spans="1:25">
      <c r="A34" s="8">
        <v>29</v>
      </c>
      <c r="B34" s="9">
        <f t="shared" ca="1" si="0"/>
        <v>0.74717122299170069</v>
      </c>
      <c r="C34" s="10" t="str">
        <f t="shared" ca="1" si="1"/>
        <v>Carrito</v>
      </c>
      <c r="D34" s="9">
        <f t="shared" ca="1" si="2"/>
        <v>0.28177969358243993</v>
      </c>
      <c r="E34" s="10">
        <f t="shared" ca="1" si="3"/>
        <v>2</v>
      </c>
      <c r="F34" s="10">
        <f t="shared" ca="1" si="4"/>
        <v>3</v>
      </c>
      <c r="G34" s="9">
        <f t="shared" ca="1" si="5"/>
        <v>0.13914363509367511</v>
      </c>
      <c r="H34" s="10">
        <f t="shared" ca="1" si="6"/>
        <v>8</v>
      </c>
      <c r="W34">
        <f t="shared" si="7"/>
        <v>0.99997738363353839</v>
      </c>
      <c r="X34">
        <v>29</v>
      </c>
      <c r="Y34">
        <f t="shared" si="8"/>
        <v>0.99999112986120087</v>
      </c>
    </row>
    <row r="35" spans="1:25">
      <c r="A35" s="8">
        <v>30</v>
      </c>
      <c r="B35" s="14">
        <f t="shared" ca="1" si="0"/>
        <v>0.4108892135459401</v>
      </c>
      <c r="C35" s="8" t="str">
        <f t="shared" ca="1" si="1"/>
        <v>Navegación</v>
      </c>
      <c r="D35" s="14">
        <f t="shared" ca="1" si="2"/>
        <v>0.31779613908056814</v>
      </c>
      <c r="E35" s="8">
        <f t="shared" ca="1" si="3"/>
        <v>2</v>
      </c>
      <c r="F35" s="8">
        <f t="shared" ca="1" si="4"/>
        <v>2</v>
      </c>
      <c r="G35" s="14">
        <f t="shared" ca="1" si="5"/>
        <v>0.47570537429445514</v>
      </c>
      <c r="H35" s="8">
        <f t="shared" ca="1" si="6"/>
        <v>12</v>
      </c>
      <c r="W35">
        <f t="shared" si="7"/>
        <v>0.99999112986120087</v>
      </c>
      <c r="X35">
        <v>30</v>
      </c>
      <c r="Y35">
        <f t="shared" si="8"/>
        <v>0.99999662835226588</v>
      </c>
    </row>
    <row r="36" spans="1:25">
      <c r="A36" s="8">
        <v>31</v>
      </c>
      <c r="B36" s="9">
        <f t="shared" ca="1" si="0"/>
        <v>0.56905174515867851</v>
      </c>
      <c r="C36" s="10" t="str">
        <f t="shared" ca="1" si="1"/>
        <v>Carrito</v>
      </c>
      <c r="D36" s="9">
        <f t="shared" ca="1" si="2"/>
        <v>0.18254882279622353</v>
      </c>
      <c r="E36" s="10">
        <f t="shared" ca="1" si="3"/>
        <v>1</v>
      </c>
      <c r="F36" s="10">
        <f t="shared" ca="1" si="4"/>
        <v>1</v>
      </c>
      <c r="G36" s="9">
        <f t="shared" ca="1" si="5"/>
        <v>0.65211848864676891</v>
      </c>
      <c r="H36" s="10">
        <f t="shared" ca="1" si="6"/>
        <v>13</v>
      </c>
      <c r="W36">
        <f t="shared" si="7"/>
        <v>0.99999662835226588</v>
      </c>
      <c r="X36">
        <v>31</v>
      </c>
      <c r="Y36">
        <f t="shared" si="8"/>
        <v>0.99999875680042005</v>
      </c>
    </row>
    <row r="37" spans="1:25">
      <c r="A37" s="8">
        <v>32</v>
      </c>
      <c r="B37" s="14">
        <f t="shared" ca="1" si="0"/>
        <v>0.21272376014230299</v>
      </c>
      <c r="C37" s="8" t="str">
        <f t="shared" ca="1" si="1"/>
        <v>Navegación</v>
      </c>
      <c r="D37" s="14">
        <f t="shared" ca="1" si="2"/>
        <v>0.59491399489758767</v>
      </c>
      <c r="E37" s="8">
        <f t="shared" ca="1" si="3"/>
        <v>3</v>
      </c>
      <c r="F37" s="8">
        <f t="shared" ca="1" si="4"/>
        <v>5</v>
      </c>
      <c r="G37" s="14">
        <f t="shared" ca="1" si="5"/>
        <v>0.13518146945272247</v>
      </c>
      <c r="H37" s="8">
        <f t="shared" ca="1" si="6"/>
        <v>8</v>
      </c>
      <c r="W37">
        <f t="shared" si="7"/>
        <v>0.99999875680042005</v>
      </c>
      <c r="X37">
        <v>32</v>
      </c>
      <c r="Y37">
        <f t="shared" si="8"/>
        <v>0.99999955496847781</v>
      </c>
    </row>
    <row r="38" spans="1:25">
      <c r="A38" s="8">
        <v>33</v>
      </c>
      <c r="B38" s="9">
        <f t="shared" ca="1" si="0"/>
        <v>0.3913860767363101</v>
      </c>
      <c r="C38" s="10" t="str">
        <f t="shared" ca="1" si="1"/>
        <v>Navegación</v>
      </c>
      <c r="D38" s="9">
        <f t="shared" ca="1" si="2"/>
        <v>0.76443202512634723</v>
      </c>
      <c r="E38" s="10">
        <f t="shared" ca="1" si="3"/>
        <v>4</v>
      </c>
      <c r="F38" s="10">
        <f t="shared" ca="1" si="4"/>
        <v>4</v>
      </c>
      <c r="G38" s="9">
        <f t="shared" ca="1" si="5"/>
        <v>0.74994525711287163</v>
      </c>
      <c r="H38" s="10">
        <f t="shared" ca="1" si="6"/>
        <v>14</v>
      </c>
      <c r="W38">
        <f t="shared" si="7"/>
        <v>0.99999955496847781</v>
      </c>
      <c r="X38">
        <v>33</v>
      </c>
      <c r="Y38">
        <f t="shared" si="8"/>
        <v>0.99999984521140795</v>
      </c>
    </row>
    <row r="39" spans="1:25">
      <c r="A39" s="8">
        <v>34</v>
      </c>
      <c r="B39" s="14">
        <f t="shared" ca="1" si="0"/>
        <v>0.50390378418813575</v>
      </c>
      <c r="C39" s="8" t="str">
        <f t="shared" ca="1" si="1"/>
        <v>Navegación</v>
      </c>
      <c r="D39" s="14">
        <f t="shared" ca="1" si="2"/>
        <v>6.5560165975255491E-2</v>
      </c>
      <c r="E39" s="8">
        <f t="shared" ca="1" si="3"/>
        <v>1</v>
      </c>
      <c r="F39" s="8">
        <f t="shared" ca="1" si="4"/>
        <v>5</v>
      </c>
      <c r="G39" s="14">
        <f t="shared" ca="1" si="5"/>
        <v>0.90823255655994184</v>
      </c>
      <c r="H39" s="8">
        <f t="shared" ca="1" si="6"/>
        <v>17</v>
      </c>
      <c r="W39">
        <f t="shared" si="7"/>
        <v>0.99999984521140795</v>
      </c>
      <c r="X39">
        <v>34</v>
      </c>
      <c r="Y39">
        <f t="shared" si="8"/>
        <v>0.99999994765008915</v>
      </c>
    </row>
    <row r="40" spans="1:25">
      <c r="A40" s="8">
        <v>35</v>
      </c>
      <c r="B40" s="9">
        <f t="shared" ca="1" si="0"/>
        <v>0.70111139745697715</v>
      </c>
      <c r="C40" s="10" t="str">
        <f t="shared" ca="1" si="1"/>
        <v>Carrito</v>
      </c>
      <c r="D40" s="9">
        <f t="shared" ca="1" si="2"/>
        <v>0.39375308356032013</v>
      </c>
      <c r="E40" s="10">
        <f t="shared" ca="1" si="3"/>
        <v>2</v>
      </c>
      <c r="F40" s="10">
        <f t="shared" ca="1" si="4"/>
        <v>1</v>
      </c>
      <c r="G40" s="9">
        <f t="shared" ca="1" si="5"/>
        <v>9.6073902904442954E-2</v>
      </c>
      <c r="H40" s="10">
        <f t="shared" ca="1" si="6"/>
        <v>8</v>
      </c>
    </row>
    <row r="41" spans="1:25">
      <c r="A41" s="8">
        <v>36</v>
      </c>
      <c r="B41" s="14">
        <f t="shared" ca="1" si="0"/>
        <v>0.57722062747073344</v>
      </c>
      <c r="C41" s="8" t="str">
        <f t="shared" ca="1" si="1"/>
        <v>Carrito</v>
      </c>
      <c r="D41" s="14">
        <f t="shared" ca="1" si="2"/>
        <v>0.35663033927654875</v>
      </c>
      <c r="E41" s="8">
        <f t="shared" ca="1" si="3"/>
        <v>2</v>
      </c>
      <c r="F41" s="8">
        <f t="shared" ca="1" si="4"/>
        <v>4</v>
      </c>
      <c r="G41" s="14">
        <f t="shared" ca="1" si="5"/>
        <v>0.13795268877671785</v>
      </c>
      <c r="H41" s="8">
        <f t="shared" ca="1" si="6"/>
        <v>8</v>
      </c>
    </row>
    <row r="42" spans="1:25">
      <c r="A42" s="8">
        <v>37</v>
      </c>
      <c r="B42" s="9">
        <f t="shared" ca="1" si="0"/>
        <v>0.77105409237671263</v>
      </c>
      <c r="C42" s="10" t="str">
        <f t="shared" ca="1" si="1"/>
        <v>Carrito</v>
      </c>
      <c r="D42" s="9">
        <f t="shared" ca="1" si="2"/>
        <v>0.98513812740343842</v>
      </c>
      <c r="E42" s="10">
        <f t="shared" ca="1" si="3"/>
        <v>5</v>
      </c>
      <c r="F42" s="10">
        <f t="shared" ca="1" si="4"/>
        <v>2</v>
      </c>
      <c r="G42" s="9">
        <f t="shared" ca="1" si="5"/>
        <v>0.98364570508085425</v>
      </c>
      <c r="H42" s="10">
        <f t="shared" ca="1" si="6"/>
        <v>20</v>
      </c>
    </row>
    <row r="43" spans="1:25">
      <c r="A43" s="8">
        <v>38</v>
      </c>
      <c r="B43" s="14">
        <f t="shared" ca="1" si="0"/>
        <v>0.89235554576953235</v>
      </c>
      <c r="C43" s="8" t="str">
        <f t="shared" ca="1" si="1"/>
        <v>Checkout</v>
      </c>
      <c r="D43" s="14">
        <f t="shared" ca="1" si="2"/>
        <v>0.92593416251109373</v>
      </c>
      <c r="E43" s="8">
        <f t="shared" ca="1" si="3"/>
        <v>5</v>
      </c>
      <c r="F43" s="8">
        <f t="shared" ca="1" si="4"/>
        <v>1</v>
      </c>
      <c r="G43" s="14">
        <f t="shared" ca="1" si="5"/>
        <v>0.73641971249433991</v>
      </c>
      <c r="H43" s="8">
        <f t="shared" ca="1" si="6"/>
        <v>14</v>
      </c>
    </row>
    <row r="44" spans="1:25">
      <c r="A44" s="8">
        <v>39</v>
      </c>
      <c r="B44" s="9">
        <f t="shared" ca="1" si="0"/>
        <v>0.70603131474091951</v>
      </c>
      <c r="C44" s="10" t="str">
        <f t="shared" ca="1" si="1"/>
        <v>Carrito</v>
      </c>
      <c r="D44" s="9">
        <f t="shared" ca="1" si="2"/>
        <v>0.36354237428019154</v>
      </c>
      <c r="E44" s="10">
        <f t="shared" ca="1" si="3"/>
        <v>2</v>
      </c>
      <c r="F44" s="10">
        <f t="shared" ca="1" si="4"/>
        <v>5</v>
      </c>
      <c r="G44" s="9">
        <f t="shared" ca="1" si="5"/>
        <v>0.3286114636191465</v>
      </c>
      <c r="H44" s="10">
        <f t="shared" ca="1" si="6"/>
        <v>10</v>
      </c>
    </row>
    <row r="45" spans="1:25">
      <c r="A45" s="8">
        <v>40</v>
      </c>
      <c r="B45" s="14">
        <f t="shared" ca="1" si="0"/>
        <v>8.4794323687827911E-2</v>
      </c>
      <c r="C45" s="8" t="str">
        <f t="shared" ca="1" si="1"/>
        <v>Navegación</v>
      </c>
      <c r="D45" s="14">
        <f t="shared" ca="1" si="2"/>
        <v>0.7333445588937425</v>
      </c>
      <c r="E45" s="8">
        <f t="shared" ca="1" si="3"/>
        <v>4</v>
      </c>
      <c r="F45" s="8">
        <f t="shared" ca="1" si="4"/>
        <v>4</v>
      </c>
      <c r="G45" s="14">
        <f t="shared" ca="1" si="5"/>
        <v>0.25800602863622202</v>
      </c>
      <c r="H45" s="8">
        <f t="shared" ca="1" si="6"/>
        <v>10</v>
      </c>
    </row>
    <row r="46" spans="1:25">
      <c r="A46" s="8">
        <v>41</v>
      </c>
      <c r="B46" s="9">
        <f t="shared" ca="1" si="0"/>
        <v>0.76885222640685769</v>
      </c>
      <c r="C46" s="10" t="str">
        <f t="shared" ca="1" si="1"/>
        <v>Carrito</v>
      </c>
      <c r="D46" s="9">
        <f t="shared" ca="1" si="2"/>
        <v>0.75419609621267458</v>
      </c>
      <c r="E46" s="10">
        <f t="shared" ca="1" si="3"/>
        <v>4</v>
      </c>
      <c r="F46" s="10">
        <f t="shared" ca="1" si="4"/>
        <v>4</v>
      </c>
      <c r="G46" s="9">
        <f t="shared" ca="1" si="5"/>
        <v>0.70212626402241773</v>
      </c>
      <c r="H46" s="10">
        <f t="shared" ca="1" si="6"/>
        <v>14</v>
      </c>
    </row>
    <row r="47" spans="1:25">
      <c r="A47" s="8">
        <v>42</v>
      </c>
      <c r="B47" s="14">
        <f t="shared" ca="1" si="0"/>
        <v>0.14862913031318281</v>
      </c>
      <c r="C47" s="8" t="str">
        <f t="shared" ca="1" si="1"/>
        <v>Navegación</v>
      </c>
      <c r="D47" s="14">
        <f t="shared" ca="1" si="2"/>
        <v>0.70350826989282977</v>
      </c>
      <c r="E47" s="8">
        <f t="shared" ca="1" si="3"/>
        <v>4</v>
      </c>
      <c r="F47" s="8">
        <f t="shared" ca="1" si="4"/>
        <v>2</v>
      </c>
      <c r="G47" s="14">
        <f t="shared" ca="1" si="5"/>
        <v>0.41891438448391927</v>
      </c>
      <c r="H47" s="8">
        <f t="shared" ca="1" si="6"/>
        <v>11</v>
      </c>
    </row>
    <row r="48" spans="1:25">
      <c r="A48" s="8">
        <v>43</v>
      </c>
      <c r="B48" s="9">
        <f t="shared" ca="1" si="0"/>
        <v>0.15734971744611681</v>
      </c>
      <c r="C48" s="10" t="str">
        <f t="shared" ca="1" si="1"/>
        <v>Navegación</v>
      </c>
      <c r="D48" s="9">
        <f t="shared" ca="1" si="2"/>
        <v>0.34823311802089152</v>
      </c>
      <c r="E48" s="10">
        <f t="shared" ca="1" si="3"/>
        <v>2</v>
      </c>
      <c r="F48" s="10">
        <f t="shared" ca="1" si="4"/>
        <v>4</v>
      </c>
      <c r="G48" s="9">
        <f t="shared" ca="1" si="5"/>
        <v>0.88234946911319057</v>
      </c>
      <c r="H48" s="10">
        <f t="shared" ca="1" si="6"/>
        <v>16</v>
      </c>
    </row>
    <row r="49" spans="1:8">
      <c r="A49" s="8">
        <v>44</v>
      </c>
      <c r="B49" s="14">
        <f t="shared" ca="1" si="0"/>
        <v>0.30997605611427037</v>
      </c>
      <c r="C49" s="8" t="str">
        <f t="shared" ca="1" si="1"/>
        <v>Navegación</v>
      </c>
      <c r="D49" s="14">
        <f t="shared" ca="1" si="2"/>
        <v>0.88602753338998053</v>
      </c>
      <c r="E49" s="8">
        <f t="shared" ca="1" si="3"/>
        <v>5</v>
      </c>
      <c r="F49" s="8">
        <f t="shared" ca="1" si="4"/>
        <v>4</v>
      </c>
      <c r="G49" s="14">
        <f t="shared" ca="1" si="5"/>
        <v>0.86767852918366484</v>
      </c>
      <c r="H49" s="8">
        <f t="shared" ca="1" si="6"/>
        <v>16</v>
      </c>
    </row>
    <row r="50" spans="1:8">
      <c r="A50" s="8">
        <v>45</v>
      </c>
      <c r="B50" s="9">
        <f t="shared" ca="1" si="0"/>
        <v>0.61374687379245418</v>
      </c>
      <c r="C50" s="10" t="str">
        <f t="shared" ca="1" si="1"/>
        <v>Carrito</v>
      </c>
      <c r="D50" s="9">
        <f t="shared" ca="1" si="2"/>
        <v>0.4347002515462649</v>
      </c>
      <c r="E50" s="10">
        <f t="shared" ca="1" si="3"/>
        <v>3</v>
      </c>
      <c r="F50" s="10">
        <f t="shared" ca="1" si="4"/>
        <v>4</v>
      </c>
      <c r="G50" s="9">
        <f t="shared" ca="1" si="5"/>
        <v>0.56950625693550272</v>
      </c>
      <c r="H50" s="10">
        <f t="shared" ca="1" si="6"/>
        <v>12</v>
      </c>
    </row>
    <row r="51" spans="1:8">
      <c r="A51" s="8">
        <v>46</v>
      </c>
      <c r="B51" s="14">
        <f t="shared" ca="1" si="0"/>
        <v>0.53033666190336182</v>
      </c>
      <c r="C51" s="8" t="str">
        <f t="shared" ca="1" si="1"/>
        <v>Navegación</v>
      </c>
      <c r="D51" s="14">
        <f t="shared" ca="1" si="2"/>
        <v>0.7853752059399941</v>
      </c>
      <c r="E51" s="8">
        <f t="shared" ca="1" si="3"/>
        <v>4</v>
      </c>
      <c r="F51" s="8">
        <f t="shared" ca="1" si="4"/>
        <v>2</v>
      </c>
      <c r="G51" s="14">
        <f t="shared" ca="1" si="5"/>
        <v>1.6046498324640668E-2</v>
      </c>
      <c r="H51" s="8">
        <f t="shared" ca="1" si="6"/>
        <v>5</v>
      </c>
    </row>
    <row r="52" spans="1:8">
      <c r="A52" s="8">
        <v>47</v>
      </c>
      <c r="B52" s="9">
        <f t="shared" ca="1" si="0"/>
        <v>6.3500185372692308E-2</v>
      </c>
      <c r="C52" s="10" t="str">
        <f t="shared" ca="1" si="1"/>
        <v>Navegación</v>
      </c>
      <c r="D52" s="9">
        <f t="shared" ca="1" si="2"/>
        <v>0.26726558608112627</v>
      </c>
      <c r="E52" s="10">
        <f t="shared" ca="1" si="3"/>
        <v>2</v>
      </c>
      <c r="F52" s="10">
        <f t="shared" ca="1" si="4"/>
        <v>1</v>
      </c>
      <c r="G52" s="9">
        <f t="shared" ca="1" si="5"/>
        <v>0.2147833667965342</v>
      </c>
      <c r="H52" s="10">
        <f t="shared" ca="1" si="6"/>
        <v>9</v>
      </c>
    </row>
    <row r="53" spans="1:8">
      <c r="A53" s="8">
        <v>48</v>
      </c>
      <c r="B53" s="14">
        <f t="shared" ca="1" si="0"/>
        <v>0.35275425056126986</v>
      </c>
      <c r="C53" s="8" t="str">
        <f t="shared" ca="1" si="1"/>
        <v>Navegación</v>
      </c>
      <c r="D53" s="14">
        <f t="shared" ca="1" si="2"/>
        <v>0.19038627194377034</v>
      </c>
      <c r="E53" s="8">
        <f t="shared" ca="1" si="3"/>
        <v>1</v>
      </c>
      <c r="F53" s="8">
        <f t="shared" ca="1" si="4"/>
        <v>3</v>
      </c>
      <c r="G53" s="14">
        <f t="shared" ca="1" si="5"/>
        <v>0.8695811274149684</v>
      </c>
      <c r="H53" s="8">
        <f t="shared" ca="1" si="6"/>
        <v>16</v>
      </c>
    </row>
    <row r="54" spans="1:8">
      <c r="A54" s="8">
        <v>49</v>
      </c>
      <c r="B54" s="9">
        <f t="shared" ca="1" si="0"/>
        <v>0.81101569409076213</v>
      </c>
      <c r="C54" s="10" t="str">
        <f t="shared" ca="1" si="1"/>
        <v>Carrito</v>
      </c>
      <c r="D54" s="9">
        <f t="shared" ca="1" si="2"/>
        <v>0.60464207907342715</v>
      </c>
      <c r="E54" s="10">
        <f t="shared" ca="1" si="3"/>
        <v>4</v>
      </c>
      <c r="F54" s="10">
        <f t="shared" ca="1" si="4"/>
        <v>3</v>
      </c>
      <c r="G54" s="9">
        <f t="shared" ca="1" si="5"/>
        <v>4.9933927484533291E-2</v>
      </c>
      <c r="H54" s="10">
        <f t="shared" ca="1" si="6"/>
        <v>7</v>
      </c>
    </row>
    <row r="55" spans="1:8">
      <c r="A55" s="8">
        <v>50</v>
      </c>
      <c r="B55" s="14">
        <f t="shared" ca="1" si="0"/>
        <v>0.72010490008756534</v>
      </c>
      <c r="C55" s="8" t="str">
        <f t="shared" ca="1" si="1"/>
        <v>Carrito</v>
      </c>
      <c r="D55" s="14">
        <f t="shared" ca="1" si="2"/>
        <v>0.30160697047876328</v>
      </c>
      <c r="E55" s="8">
        <f t="shared" ca="1" si="3"/>
        <v>2</v>
      </c>
      <c r="F55" s="8">
        <f t="shared" ca="1" si="4"/>
        <v>1</v>
      </c>
      <c r="G55" s="14">
        <f t="shared" ca="1" si="5"/>
        <v>0.31336470764943336</v>
      </c>
      <c r="H55" s="8">
        <f t="shared" ca="1" si="6"/>
        <v>10</v>
      </c>
    </row>
    <row r="56" spans="1:8">
      <c r="A56" s="8">
        <v>51</v>
      </c>
      <c r="B56" s="9">
        <f t="shared" ca="1" si="0"/>
        <v>0.63384077188472854</v>
      </c>
      <c r="C56" s="10" t="str">
        <f t="shared" ca="1" si="1"/>
        <v>Carrito</v>
      </c>
      <c r="D56" s="9">
        <f t="shared" ca="1" si="2"/>
        <v>0.41464260162448829</v>
      </c>
      <c r="E56" s="10">
        <f t="shared" ca="1" si="3"/>
        <v>3</v>
      </c>
      <c r="F56" s="10">
        <f t="shared" ca="1" si="4"/>
        <v>5</v>
      </c>
      <c r="G56" s="9">
        <f t="shared" ca="1" si="5"/>
        <v>0.29524586590287494</v>
      </c>
      <c r="H56" s="10">
        <f t="shared" ca="1" si="6"/>
        <v>10</v>
      </c>
    </row>
    <row r="57" spans="1:8">
      <c r="A57" s="8">
        <v>52</v>
      </c>
      <c r="B57" s="14">
        <f t="shared" ca="1" si="0"/>
        <v>0.89726739898779362</v>
      </c>
      <c r="C57" s="8" t="str">
        <f t="shared" ca="1" si="1"/>
        <v>Checkout</v>
      </c>
      <c r="D57" s="14">
        <f t="shared" ca="1" si="2"/>
        <v>0.7483813677247324</v>
      </c>
      <c r="E57" s="8">
        <f t="shared" ca="1" si="3"/>
        <v>4</v>
      </c>
      <c r="F57" s="8">
        <f t="shared" ca="1" si="4"/>
        <v>2</v>
      </c>
      <c r="G57" s="14">
        <f t="shared" ca="1" si="5"/>
        <v>0.23778757454559407</v>
      </c>
      <c r="H57" s="8">
        <f t="shared" ca="1" si="6"/>
        <v>9</v>
      </c>
    </row>
    <row r="58" spans="1:8">
      <c r="A58" s="8">
        <v>53</v>
      </c>
      <c r="B58" s="9">
        <f t="shared" ca="1" si="0"/>
        <v>9.0112116964495281E-2</v>
      </c>
      <c r="C58" s="10" t="str">
        <f t="shared" ca="1" si="1"/>
        <v>Navegación</v>
      </c>
      <c r="D58" s="9">
        <f t="shared" ca="1" si="2"/>
        <v>0.65751269649937893</v>
      </c>
      <c r="E58" s="10">
        <f t="shared" ca="1" si="3"/>
        <v>4</v>
      </c>
      <c r="F58" s="10">
        <f t="shared" ca="1" si="4"/>
        <v>5</v>
      </c>
      <c r="G58" s="9">
        <f t="shared" ca="1" si="5"/>
        <v>0.17187956361435963</v>
      </c>
      <c r="H58" s="10">
        <f t="shared" ca="1" si="6"/>
        <v>9</v>
      </c>
    </row>
    <row r="59" spans="1:8">
      <c r="A59" s="8">
        <v>54</v>
      </c>
      <c r="B59" s="14">
        <f t="shared" ca="1" si="0"/>
        <v>0.6170690810445506</v>
      </c>
      <c r="C59" s="8" t="str">
        <f t="shared" ca="1" si="1"/>
        <v>Carrito</v>
      </c>
      <c r="D59" s="14">
        <f t="shared" ca="1" si="2"/>
        <v>0.53864983778430808</v>
      </c>
      <c r="E59" s="8">
        <f t="shared" ca="1" si="3"/>
        <v>3</v>
      </c>
      <c r="F59" s="8">
        <f t="shared" ca="1" si="4"/>
        <v>2</v>
      </c>
      <c r="G59" s="14">
        <f t="shared" ca="1" si="5"/>
        <v>0.97616311227140951</v>
      </c>
      <c r="H59" s="8">
        <f t="shared" ca="1" si="6"/>
        <v>19</v>
      </c>
    </row>
    <row r="60" spans="1:8">
      <c r="A60" s="8">
        <v>55</v>
      </c>
      <c r="B60" s="9">
        <f t="shared" ca="1" si="0"/>
        <v>0.73577605835824778</v>
      </c>
      <c r="C60" s="10" t="str">
        <f t="shared" ca="1" si="1"/>
        <v>Carrito</v>
      </c>
      <c r="D60" s="9">
        <f t="shared" ca="1" si="2"/>
        <v>0.70779289855842054</v>
      </c>
      <c r="E60" s="10">
        <f t="shared" ca="1" si="3"/>
        <v>4</v>
      </c>
      <c r="F60" s="10">
        <f t="shared" ca="1" si="4"/>
        <v>3</v>
      </c>
      <c r="G60" s="9">
        <f t="shared" ca="1" si="5"/>
        <v>0.56970425668566382</v>
      </c>
      <c r="H60" s="10">
        <f t="shared" ca="1" si="6"/>
        <v>12</v>
      </c>
    </row>
    <row r="61" spans="1:8">
      <c r="A61" s="8">
        <v>56</v>
      </c>
      <c r="B61" s="14">
        <f t="shared" ca="1" si="0"/>
        <v>0.32033982059428989</v>
      </c>
      <c r="C61" s="8" t="str">
        <f t="shared" ca="1" si="1"/>
        <v>Navegación</v>
      </c>
      <c r="D61" s="14">
        <f t="shared" ca="1" si="2"/>
        <v>0.45820682918125766</v>
      </c>
      <c r="E61" s="8">
        <f t="shared" ca="1" si="3"/>
        <v>3</v>
      </c>
      <c r="F61" s="8">
        <f t="shared" ca="1" si="4"/>
        <v>2</v>
      </c>
      <c r="G61" s="14">
        <f t="shared" ca="1" si="5"/>
        <v>0.34510755184118114</v>
      </c>
      <c r="H61" s="8">
        <f t="shared" ca="1" si="6"/>
        <v>10</v>
      </c>
    </row>
    <row r="62" spans="1:8">
      <c r="A62" s="8">
        <v>57</v>
      </c>
      <c r="B62" s="9">
        <f t="shared" ca="1" si="0"/>
        <v>0.59771494817610371</v>
      </c>
      <c r="C62" s="10" t="str">
        <f t="shared" ca="1" si="1"/>
        <v>Carrito</v>
      </c>
      <c r="D62" s="9">
        <f t="shared" ca="1" si="2"/>
        <v>0.42797311084455825</v>
      </c>
      <c r="E62" s="10">
        <f t="shared" ca="1" si="3"/>
        <v>3</v>
      </c>
      <c r="F62" s="10">
        <f t="shared" ca="1" si="4"/>
        <v>5</v>
      </c>
      <c r="G62" s="9">
        <f t="shared" ca="1" si="5"/>
        <v>0.79471138124116203</v>
      </c>
      <c r="H62" s="10">
        <f t="shared" ca="1" si="6"/>
        <v>15</v>
      </c>
    </row>
    <row r="63" spans="1:8">
      <c r="A63" s="8">
        <v>58</v>
      </c>
      <c r="B63" s="14">
        <f t="shared" ca="1" si="0"/>
        <v>0.26343738281604301</v>
      </c>
      <c r="C63" s="8" t="str">
        <f t="shared" ca="1" si="1"/>
        <v>Navegación</v>
      </c>
      <c r="D63" s="14">
        <f t="shared" ca="1" si="2"/>
        <v>0.85446658044295209</v>
      </c>
      <c r="E63" s="8">
        <f t="shared" ca="1" si="3"/>
        <v>5</v>
      </c>
      <c r="F63" s="8">
        <f t="shared" ca="1" si="4"/>
        <v>1</v>
      </c>
      <c r="G63" s="14">
        <f t="shared" ca="1" si="5"/>
        <v>0.69614010034046814</v>
      </c>
      <c r="H63" s="8">
        <f t="shared" ca="1" si="6"/>
        <v>14</v>
      </c>
    </row>
    <row r="64" spans="1:8">
      <c r="A64" s="8">
        <v>59</v>
      </c>
      <c r="B64" s="9">
        <f t="shared" ca="1" si="0"/>
        <v>0.38791704612783551</v>
      </c>
      <c r="C64" s="10" t="str">
        <f t="shared" ca="1" si="1"/>
        <v>Navegación</v>
      </c>
      <c r="D64" s="9">
        <f t="shared" ca="1" si="2"/>
        <v>2.7256483495549322E-2</v>
      </c>
      <c r="E64" s="10">
        <f t="shared" ca="1" si="3"/>
        <v>1</v>
      </c>
      <c r="F64" s="10">
        <f t="shared" ca="1" si="4"/>
        <v>1</v>
      </c>
      <c r="G64" s="9">
        <f t="shared" ca="1" si="5"/>
        <v>0.3576757997829485</v>
      </c>
      <c r="H64" s="10">
        <f t="shared" ca="1" si="6"/>
        <v>11</v>
      </c>
    </row>
    <row r="65" spans="1:8">
      <c r="A65" s="8">
        <v>60</v>
      </c>
      <c r="B65" s="14">
        <f t="shared" ca="1" si="0"/>
        <v>0.69208836293021159</v>
      </c>
      <c r="C65" s="8" t="str">
        <f t="shared" ca="1" si="1"/>
        <v>Carrito</v>
      </c>
      <c r="D65" s="14">
        <f t="shared" ca="1" si="2"/>
        <v>1.7646047781540664E-2</v>
      </c>
      <c r="E65" s="8">
        <f t="shared" ca="1" si="3"/>
        <v>1</v>
      </c>
      <c r="F65" s="8">
        <f t="shared" ca="1" si="4"/>
        <v>4</v>
      </c>
      <c r="G65" s="14">
        <f t="shared" ca="1" si="5"/>
        <v>0.22592374264359016</v>
      </c>
      <c r="H65" s="8">
        <f t="shared" ca="1" si="6"/>
        <v>9</v>
      </c>
    </row>
    <row r="66" spans="1:8">
      <c r="A66" s="8">
        <v>61</v>
      </c>
      <c r="B66" s="9">
        <f t="shared" ca="1" si="0"/>
        <v>0.28123917319546765</v>
      </c>
      <c r="C66" s="10" t="str">
        <f t="shared" ca="1" si="1"/>
        <v>Navegación</v>
      </c>
      <c r="D66" s="9">
        <f t="shared" ca="1" si="2"/>
        <v>0.55663469780948049</v>
      </c>
      <c r="E66" s="10">
        <f t="shared" ca="1" si="3"/>
        <v>3</v>
      </c>
      <c r="F66" s="10">
        <f t="shared" ca="1" si="4"/>
        <v>1</v>
      </c>
      <c r="G66" s="9">
        <f t="shared" ca="1" si="5"/>
        <v>0.37846774078315315</v>
      </c>
      <c r="H66" s="10">
        <f t="shared" ca="1" si="6"/>
        <v>11</v>
      </c>
    </row>
    <row r="67" spans="1:8">
      <c r="A67" s="8">
        <v>62</v>
      </c>
      <c r="B67" s="14">
        <f t="shared" ca="1" si="0"/>
        <v>1.7519241929953022E-2</v>
      </c>
      <c r="C67" s="8" t="str">
        <f t="shared" ca="1" si="1"/>
        <v>Navegación</v>
      </c>
      <c r="D67" s="14">
        <f t="shared" ca="1" si="2"/>
        <v>0.48806484275387174</v>
      </c>
      <c r="E67" s="8">
        <f t="shared" ca="1" si="3"/>
        <v>3</v>
      </c>
      <c r="F67" s="8">
        <f t="shared" ca="1" si="4"/>
        <v>1</v>
      </c>
      <c r="G67" s="14">
        <f t="shared" ca="1" si="5"/>
        <v>0.39586035852188139</v>
      </c>
      <c r="H67" s="8">
        <f t="shared" ca="1" si="6"/>
        <v>11</v>
      </c>
    </row>
    <row r="68" spans="1:8">
      <c r="A68" s="8">
        <v>63</v>
      </c>
      <c r="B68" s="9">
        <f t="shared" ca="1" si="0"/>
        <v>0.71373213710510741</v>
      </c>
      <c r="C68" s="10" t="str">
        <f t="shared" ca="1" si="1"/>
        <v>Carrito</v>
      </c>
      <c r="D68" s="9">
        <f t="shared" ca="1" si="2"/>
        <v>0.18985365856720826</v>
      </c>
      <c r="E68" s="10">
        <f t="shared" ca="1" si="3"/>
        <v>1</v>
      </c>
      <c r="F68" s="10">
        <f t="shared" ca="1" si="4"/>
        <v>5</v>
      </c>
      <c r="G68" s="9">
        <f t="shared" ca="1" si="5"/>
        <v>0.51949556704198019</v>
      </c>
      <c r="H68" s="10">
        <f t="shared" ca="1" si="6"/>
        <v>12</v>
      </c>
    </row>
    <row r="69" spans="1:8">
      <c r="A69" s="8">
        <v>64</v>
      </c>
      <c r="B69" s="14">
        <f t="shared" ca="1" si="0"/>
        <v>0.36403438933743093</v>
      </c>
      <c r="C69" s="8" t="str">
        <f t="shared" ca="1" si="1"/>
        <v>Navegación</v>
      </c>
      <c r="D69" s="14">
        <f t="shared" ca="1" si="2"/>
        <v>0.95561947086775323</v>
      </c>
      <c r="E69" s="8">
        <f t="shared" ca="1" si="3"/>
        <v>5</v>
      </c>
      <c r="F69" s="8">
        <f t="shared" ca="1" si="4"/>
        <v>4</v>
      </c>
      <c r="G69" s="14">
        <f t="shared" ca="1" si="5"/>
        <v>0.56038291687539155</v>
      </c>
      <c r="H69" s="8">
        <f t="shared" ca="1" si="6"/>
        <v>12</v>
      </c>
    </row>
    <row r="70" spans="1:8">
      <c r="A70" s="8">
        <v>65</v>
      </c>
      <c r="B70" s="9">
        <f t="shared" ref="B70:B133" ca="1" si="9">RAND()</f>
        <v>0.89713131104085564</v>
      </c>
      <c r="C70" s="10" t="str">
        <f t="shared" ref="C70:C133" ca="1" si="10">VLOOKUP(B70, $J$6:$K$8, 2, TRUE)</f>
        <v>Checkout</v>
      </c>
      <c r="D70" s="9">
        <f t="shared" ref="D70:D133" ca="1" si="11">RAND()</f>
        <v>0.63289733469214737</v>
      </c>
      <c r="E70" s="10">
        <f t="shared" ref="E70:E133" ca="1" si="12">INT(D70*($O$7-$O$6+1))+$O$6</f>
        <v>4</v>
      </c>
      <c r="F70" s="10">
        <f t="shared" ref="F70:F133" ca="1" si="13">RANDBETWEEN($O$6, $O$7)</f>
        <v>5</v>
      </c>
      <c r="G70" s="9">
        <f t="shared" ref="G70:G133" ca="1" si="14">RAND()</f>
        <v>0.45382063386161997</v>
      </c>
      <c r="H70" s="10">
        <f t="shared" ref="H70:H133" ca="1" si="15">VLOOKUP(G70, $W$5:$X$39, 2, TRUE)</f>
        <v>11</v>
      </c>
    </row>
    <row r="71" spans="1:8">
      <c r="A71" s="8">
        <v>66</v>
      </c>
      <c r="B71" s="14">
        <f t="shared" ca="1" si="9"/>
        <v>0.44850760129234879</v>
      </c>
      <c r="C71" s="8" t="str">
        <f t="shared" ca="1" si="10"/>
        <v>Navegación</v>
      </c>
      <c r="D71" s="14">
        <f t="shared" ca="1" si="11"/>
        <v>0.22917290731207218</v>
      </c>
      <c r="E71" s="8">
        <f t="shared" ca="1" si="12"/>
        <v>2</v>
      </c>
      <c r="F71" s="8">
        <f t="shared" ca="1" si="13"/>
        <v>4</v>
      </c>
      <c r="G71" s="14">
        <f t="shared" ca="1" si="14"/>
        <v>0.98667714315987354</v>
      </c>
      <c r="H71" s="8">
        <f t="shared" ca="1" si="15"/>
        <v>20</v>
      </c>
    </row>
    <row r="72" spans="1:8">
      <c r="A72" s="8">
        <v>67</v>
      </c>
      <c r="B72" s="9">
        <f t="shared" ca="1" si="9"/>
        <v>0.49515118339931008</v>
      </c>
      <c r="C72" s="10" t="str">
        <f t="shared" ca="1" si="10"/>
        <v>Navegación</v>
      </c>
      <c r="D72" s="9">
        <f t="shared" ca="1" si="11"/>
        <v>0.47711062333906418</v>
      </c>
      <c r="E72" s="10">
        <f t="shared" ca="1" si="12"/>
        <v>3</v>
      </c>
      <c r="F72" s="10">
        <f t="shared" ca="1" si="13"/>
        <v>1</v>
      </c>
      <c r="G72" s="9">
        <f t="shared" ca="1" si="14"/>
        <v>0.9365478496005798</v>
      </c>
      <c r="H72" s="10">
        <f t="shared" ca="1" si="15"/>
        <v>17</v>
      </c>
    </row>
    <row r="73" spans="1:8">
      <c r="A73" s="8">
        <v>68</v>
      </c>
      <c r="B73" s="14">
        <f t="shared" ca="1" si="9"/>
        <v>0.67196041795570327</v>
      </c>
      <c r="C73" s="8" t="str">
        <f t="shared" ca="1" si="10"/>
        <v>Carrito</v>
      </c>
      <c r="D73" s="14">
        <f t="shared" ca="1" si="11"/>
        <v>0.64161189871829283</v>
      </c>
      <c r="E73" s="8">
        <f t="shared" ca="1" si="12"/>
        <v>4</v>
      </c>
      <c r="F73" s="8">
        <f t="shared" ca="1" si="13"/>
        <v>4</v>
      </c>
      <c r="G73" s="14">
        <f t="shared" ca="1" si="14"/>
        <v>0.8510171123282263</v>
      </c>
      <c r="H73" s="8">
        <f t="shared" ca="1" si="15"/>
        <v>16</v>
      </c>
    </row>
    <row r="74" spans="1:8">
      <c r="A74" s="8">
        <v>69</v>
      </c>
      <c r="B74" s="9">
        <f t="shared" ca="1" si="9"/>
        <v>0.78580484640685355</v>
      </c>
      <c r="C74" s="10" t="str">
        <f t="shared" ca="1" si="10"/>
        <v>Carrito</v>
      </c>
      <c r="D74" s="9">
        <f t="shared" ca="1" si="11"/>
        <v>0.45592704249543048</v>
      </c>
      <c r="E74" s="10">
        <f t="shared" ca="1" si="12"/>
        <v>3</v>
      </c>
      <c r="F74" s="10">
        <f t="shared" ca="1" si="13"/>
        <v>4</v>
      </c>
      <c r="G74" s="9">
        <f t="shared" ca="1" si="14"/>
        <v>0.18294489662695668</v>
      </c>
      <c r="H74" s="10">
        <f t="shared" ca="1" si="15"/>
        <v>9</v>
      </c>
    </row>
    <row r="75" spans="1:8">
      <c r="A75" s="8">
        <v>70</v>
      </c>
      <c r="B75" s="14">
        <f t="shared" ca="1" si="9"/>
        <v>0.48960407694507535</v>
      </c>
      <c r="C75" s="8" t="str">
        <f t="shared" ca="1" si="10"/>
        <v>Navegación</v>
      </c>
      <c r="D75" s="14">
        <f t="shared" ca="1" si="11"/>
        <v>0.61489918460371251</v>
      </c>
      <c r="E75" s="8">
        <f t="shared" ca="1" si="12"/>
        <v>4</v>
      </c>
      <c r="F75" s="8">
        <f t="shared" ca="1" si="13"/>
        <v>5</v>
      </c>
      <c r="G75" s="14">
        <f t="shared" ca="1" si="14"/>
        <v>0.48434881143735009</v>
      </c>
      <c r="H75" s="8">
        <f t="shared" ca="1" si="15"/>
        <v>12</v>
      </c>
    </row>
    <row r="76" spans="1:8">
      <c r="A76" s="8">
        <v>71</v>
      </c>
      <c r="B76" s="9">
        <f t="shared" ca="1" si="9"/>
        <v>0.26527762995583726</v>
      </c>
      <c r="C76" s="10" t="str">
        <f t="shared" ca="1" si="10"/>
        <v>Navegación</v>
      </c>
      <c r="D76" s="9">
        <f t="shared" ca="1" si="11"/>
        <v>0.46442371533617754</v>
      </c>
      <c r="E76" s="10">
        <f t="shared" ca="1" si="12"/>
        <v>3</v>
      </c>
      <c r="F76" s="10">
        <f t="shared" ca="1" si="13"/>
        <v>3</v>
      </c>
      <c r="G76" s="9">
        <f t="shared" ca="1" si="14"/>
        <v>5.2210905708143907E-2</v>
      </c>
      <c r="H76" s="10">
        <f t="shared" ca="1" si="15"/>
        <v>7</v>
      </c>
    </row>
    <row r="77" spans="1:8">
      <c r="A77" s="8">
        <v>72</v>
      </c>
      <c r="B77" s="14">
        <f t="shared" ca="1" si="9"/>
        <v>0.52405914875451332</v>
      </c>
      <c r="C77" s="8" t="str">
        <f t="shared" ca="1" si="10"/>
        <v>Navegación</v>
      </c>
      <c r="D77" s="14">
        <f t="shared" ca="1" si="11"/>
        <v>0.63841470540353396</v>
      </c>
      <c r="E77" s="8">
        <f t="shared" ca="1" si="12"/>
        <v>4</v>
      </c>
      <c r="F77" s="8">
        <f t="shared" ca="1" si="13"/>
        <v>1</v>
      </c>
      <c r="G77" s="14">
        <f t="shared" ca="1" si="14"/>
        <v>0.87963643424921223</v>
      </c>
      <c r="H77" s="8">
        <f t="shared" ca="1" si="15"/>
        <v>16</v>
      </c>
    </row>
    <row r="78" spans="1:8">
      <c r="A78" s="8">
        <v>73</v>
      </c>
      <c r="B78" s="9">
        <f t="shared" ca="1" si="9"/>
        <v>0.72647468200184562</v>
      </c>
      <c r="C78" s="10" t="str">
        <f t="shared" ca="1" si="10"/>
        <v>Carrito</v>
      </c>
      <c r="D78" s="9">
        <f t="shared" ca="1" si="11"/>
        <v>0.66193060811062743</v>
      </c>
      <c r="E78" s="10">
        <f t="shared" ca="1" si="12"/>
        <v>4</v>
      </c>
      <c r="F78" s="10">
        <f t="shared" ca="1" si="13"/>
        <v>2</v>
      </c>
      <c r="G78" s="9">
        <f t="shared" ca="1" si="14"/>
        <v>0.44312584095893592</v>
      </c>
      <c r="H78" s="10">
        <f t="shared" ca="1" si="15"/>
        <v>11</v>
      </c>
    </row>
    <row r="79" spans="1:8">
      <c r="A79" s="8">
        <v>74</v>
      </c>
      <c r="B79" s="14">
        <f t="shared" ca="1" si="9"/>
        <v>0.29525947870786695</v>
      </c>
      <c r="C79" s="8" t="str">
        <f t="shared" ca="1" si="10"/>
        <v>Navegación</v>
      </c>
      <c r="D79" s="14">
        <f t="shared" ca="1" si="11"/>
        <v>0.12236295910418427</v>
      </c>
      <c r="E79" s="8">
        <f t="shared" ca="1" si="12"/>
        <v>1</v>
      </c>
      <c r="F79" s="8">
        <f t="shared" ca="1" si="13"/>
        <v>1</v>
      </c>
      <c r="G79" s="14">
        <f t="shared" ca="1" si="14"/>
        <v>0.68027466358472743</v>
      </c>
      <c r="H79" s="8">
        <f t="shared" ca="1" si="15"/>
        <v>13</v>
      </c>
    </row>
    <row r="80" spans="1:8">
      <c r="A80" s="8">
        <v>75</v>
      </c>
      <c r="B80" s="9">
        <f t="shared" ca="1" si="9"/>
        <v>0.21441835294004508</v>
      </c>
      <c r="C80" s="10" t="str">
        <f t="shared" ca="1" si="10"/>
        <v>Navegación</v>
      </c>
      <c r="D80" s="9">
        <f t="shared" ca="1" si="11"/>
        <v>9.5609751170626089E-2</v>
      </c>
      <c r="E80" s="10">
        <f t="shared" ca="1" si="12"/>
        <v>1</v>
      </c>
      <c r="F80" s="10">
        <f t="shared" ca="1" si="13"/>
        <v>5</v>
      </c>
      <c r="G80" s="9">
        <f t="shared" ca="1" si="14"/>
        <v>0.74274252172253596</v>
      </c>
      <c r="H80" s="10">
        <f t="shared" ca="1" si="15"/>
        <v>14</v>
      </c>
    </row>
    <row r="81" spans="1:8">
      <c r="A81" s="8">
        <v>76</v>
      </c>
      <c r="B81" s="14">
        <f t="shared" ca="1" si="9"/>
        <v>0.58332761033894787</v>
      </c>
      <c r="C81" s="8" t="str">
        <f t="shared" ca="1" si="10"/>
        <v>Carrito</v>
      </c>
      <c r="D81" s="14">
        <f t="shared" ca="1" si="11"/>
        <v>0.6066906017726964</v>
      </c>
      <c r="E81" s="8">
        <f t="shared" ca="1" si="12"/>
        <v>4</v>
      </c>
      <c r="F81" s="8">
        <f t="shared" ca="1" si="13"/>
        <v>1</v>
      </c>
      <c r="G81" s="14">
        <f t="shared" ca="1" si="14"/>
        <v>0.43942897222678612</v>
      </c>
      <c r="H81" s="8">
        <f t="shared" ca="1" si="15"/>
        <v>11</v>
      </c>
    </row>
    <row r="82" spans="1:8">
      <c r="A82" s="8">
        <v>77</v>
      </c>
      <c r="B82" s="9">
        <f t="shared" ca="1" si="9"/>
        <v>0.29304679823812718</v>
      </c>
      <c r="C82" s="10" t="str">
        <f t="shared" ca="1" si="10"/>
        <v>Navegación</v>
      </c>
      <c r="D82" s="9">
        <f t="shared" ca="1" si="11"/>
        <v>0.39834102271958804</v>
      </c>
      <c r="E82" s="10">
        <f t="shared" ca="1" si="12"/>
        <v>2</v>
      </c>
      <c r="F82" s="10">
        <f t="shared" ca="1" si="13"/>
        <v>4</v>
      </c>
      <c r="G82" s="9">
        <f t="shared" ca="1" si="14"/>
        <v>0.20935823700554257</v>
      </c>
      <c r="H82" s="10">
        <f t="shared" ca="1" si="15"/>
        <v>9</v>
      </c>
    </row>
    <row r="83" spans="1:8">
      <c r="A83" s="8">
        <v>78</v>
      </c>
      <c r="B83" s="14">
        <f t="shared" ca="1" si="9"/>
        <v>0.85537042848844735</v>
      </c>
      <c r="C83" s="8" t="str">
        <f t="shared" ca="1" si="10"/>
        <v>Checkout</v>
      </c>
      <c r="D83" s="14">
        <f t="shared" ca="1" si="11"/>
        <v>0.85410433173757827</v>
      </c>
      <c r="E83" s="8">
        <f t="shared" ca="1" si="12"/>
        <v>5</v>
      </c>
      <c r="F83" s="8">
        <f t="shared" ca="1" si="13"/>
        <v>3</v>
      </c>
      <c r="G83" s="14">
        <f t="shared" ca="1" si="14"/>
        <v>0.38122666177853892</v>
      </c>
      <c r="H83" s="8">
        <f t="shared" ca="1" si="15"/>
        <v>11</v>
      </c>
    </row>
    <row r="84" spans="1:8">
      <c r="A84" s="8">
        <v>79</v>
      </c>
      <c r="B84" s="9">
        <f t="shared" ca="1" si="9"/>
        <v>4.5946558433382911E-3</v>
      </c>
      <c r="C84" s="10" t="str">
        <f t="shared" ca="1" si="10"/>
        <v>Navegación</v>
      </c>
      <c r="D84" s="9">
        <f t="shared" ca="1" si="11"/>
        <v>0.79927457030634663</v>
      </c>
      <c r="E84" s="10">
        <f t="shared" ca="1" si="12"/>
        <v>4</v>
      </c>
      <c r="F84" s="10">
        <f t="shared" ca="1" si="13"/>
        <v>5</v>
      </c>
      <c r="G84" s="9">
        <f t="shared" ca="1" si="14"/>
        <v>0.16524724320805639</v>
      </c>
      <c r="H84" s="10">
        <f t="shared" ca="1" si="15"/>
        <v>9</v>
      </c>
    </row>
    <row r="85" spans="1:8">
      <c r="A85" s="8">
        <v>80</v>
      </c>
      <c r="B85" s="14">
        <f t="shared" ca="1" si="9"/>
        <v>0.4000226310334799</v>
      </c>
      <c r="C85" s="8" t="str">
        <f t="shared" ca="1" si="10"/>
        <v>Navegación</v>
      </c>
      <c r="D85" s="14">
        <f t="shared" ca="1" si="11"/>
        <v>0.42611110163970123</v>
      </c>
      <c r="E85" s="8">
        <f t="shared" ca="1" si="12"/>
        <v>3</v>
      </c>
      <c r="F85" s="8">
        <f t="shared" ca="1" si="13"/>
        <v>2</v>
      </c>
      <c r="G85" s="14">
        <f t="shared" ca="1" si="14"/>
        <v>0.80943761646290113</v>
      </c>
      <c r="H85" s="8">
        <f t="shared" ca="1" si="15"/>
        <v>15</v>
      </c>
    </row>
    <row r="86" spans="1:8">
      <c r="A86" s="8">
        <v>81</v>
      </c>
      <c r="B86" s="9">
        <f t="shared" ca="1" si="9"/>
        <v>0.64448366892956988</v>
      </c>
      <c r="C86" s="10" t="str">
        <f t="shared" ca="1" si="10"/>
        <v>Carrito</v>
      </c>
      <c r="D86" s="9">
        <f t="shared" ca="1" si="11"/>
        <v>0.76268436238325366</v>
      </c>
      <c r="E86" s="10">
        <f t="shared" ca="1" si="12"/>
        <v>4</v>
      </c>
      <c r="F86" s="10">
        <f t="shared" ca="1" si="13"/>
        <v>3</v>
      </c>
      <c r="G86" s="9">
        <f t="shared" ca="1" si="14"/>
        <v>0.83900013783397187</v>
      </c>
      <c r="H86" s="10">
        <f t="shared" ca="1" si="15"/>
        <v>15</v>
      </c>
    </row>
    <row r="87" spans="1:8">
      <c r="A87" s="8">
        <v>82</v>
      </c>
      <c r="B87" s="14">
        <f t="shared" ca="1" si="9"/>
        <v>0.91939386604839202</v>
      </c>
      <c r="C87" s="8" t="str">
        <f t="shared" ca="1" si="10"/>
        <v>Checkout</v>
      </c>
      <c r="D87" s="14">
        <f t="shared" ca="1" si="11"/>
        <v>0.65502630061235723</v>
      </c>
      <c r="E87" s="8">
        <f t="shared" ca="1" si="12"/>
        <v>4</v>
      </c>
      <c r="F87" s="8">
        <f t="shared" ca="1" si="13"/>
        <v>5</v>
      </c>
      <c r="G87" s="14">
        <f t="shared" ca="1" si="14"/>
        <v>4.8546753053815617E-2</v>
      </c>
      <c r="H87" s="8">
        <f t="shared" ca="1" si="15"/>
        <v>7</v>
      </c>
    </row>
    <row r="88" spans="1:8">
      <c r="A88" s="8">
        <v>83</v>
      </c>
      <c r="B88" s="9">
        <f t="shared" ca="1" si="9"/>
        <v>0.56174141198164829</v>
      </c>
      <c r="C88" s="10" t="str">
        <f t="shared" ca="1" si="10"/>
        <v>Carrito</v>
      </c>
      <c r="D88" s="9">
        <f t="shared" ca="1" si="11"/>
        <v>0.63611062703165311</v>
      </c>
      <c r="E88" s="10">
        <f t="shared" ca="1" si="12"/>
        <v>4</v>
      </c>
      <c r="F88" s="10">
        <f t="shared" ca="1" si="13"/>
        <v>2</v>
      </c>
      <c r="G88" s="9">
        <f t="shared" ca="1" si="14"/>
        <v>0.65112735725595361</v>
      </c>
      <c r="H88" s="10">
        <f t="shared" ca="1" si="15"/>
        <v>13</v>
      </c>
    </row>
    <row r="89" spans="1:8">
      <c r="A89" s="8">
        <v>84</v>
      </c>
      <c r="B89" s="14">
        <f t="shared" ca="1" si="9"/>
        <v>6.0002807160509097E-2</v>
      </c>
      <c r="C89" s="8" t="str">
        <f t="shared" ca="1" si="10"/>
        <v>Navegación</v>
      </c>
      <c r="D89" s="14">
        <f t="shared" ca="1" si="11"/>
        <v>0.86554791672437448</v>
      </c>
      <c r="E89" s="8">
        <f t="shared" ca="1" si="12"/>
        <v>5</v>
      </c>
      <c r="F89" s="8">
        <f t="shared" ca="1" si="13"/>
        <v>4</v>
      </c>
      <c r="G89" s="14">
        <f t="shared" ca="1" si="14"/>
        <v>0.24318765176666257</v>
      </c>
      <c r="H89" s="8">
        <f t="shared" ca="1" si="15"/>
        <v>10</v>
      </c>
    </row>
    <row r="90" spans="1:8">
      <c r="A90" s="8">
        <v>85</v>
      </c>
      <c r="B90" s="9">
        <f t="shared" ca="1" si="9"/>
        <v>0.46106273580745083</v>
      </c>
      <c r="C90" s="10" t="str">
        <f t="shared" ca="1" si="10"/>
        <v>Navegación</v>
      </c>
      <c r="D90" s="9">
        <f t="shared" ca="1" si="11"/>
        <v>0.96506996410573342</v>
      </c>
      <c r="E90" s="10">
        <f t="shared" ca="1" si="12"/>
        <v>5</v>
      </c>
      <c r="F90" s="10">
        <f t="shared" ca="1" si="13"/>
        <v>5</v>
      </c>
      <c r="G90" s="9">
        <f t="shared" ca="1" si="14"/>
        <v>0.2506257769882736</v>
      </c>
      <c r="H90" s="10">
        <f t="shared" ca="1" si="15"/>
        <v>10</v>
      </c>
    </row>
    <row r="91" spans="1:8">
      <c r="A91" s="8">
        <v>86</v>
      </c>
      <c r="B91" s="14">
        <f t="shared" ca="1" si="9"/>
        <v>0.78398544185898367</v>
      </c>
      <c r="C91" s="8" t="str">
        <f t="shared" ca="1" si="10"/>
        <v>Carrito</v>
      </c>
      <c r="D91" s="14">
        <f t="shared" ca="1" si="11"/>
        <v>0.74301341240544849</v>
      </c>
      <c r="E91" s="8">
        <f t="shared" ca="1" si="12"/>
        <v>4</v>
      </c>
      <c r="F91" s="8">
        <f t="shared" ca="1" si="13"/>
        <v>5</v>
      </c>
      <c r="G91" s="14">
        <f t="shared" ca="1" si="14"/>
        <v>0.39740312239691433</v>
      </c>
      <c r="H91" s="8">
        <f t="shared" ca="1" si="15"/>
        <v>11</v>
      </c>
    </row>
    <row r="92" spans="1:8">
      <c r="A92" s="8">
        <v>87</v>
      </c>
      <c r="B92" s="9">
        <f t="shared" ca="1" si="9"/>
        <v>0.50717345974512107</v>
      </c>
      <c r="C92" s="10" t="str">
        <f t="shared" ca="1" si="10"/>
        <v>Navegación</v>
      </c>
      <c r="D92" s="9">
        <f t="shared" ca="1" si="11"/>
        <v>0.55820216113034193</v>
      </c>
      <c r="E92" s="10">
        <f t="shared" ca="1" si="12"/>
        <v>3</v>
      </c>
      <c r="F92" s="10">
        <f t="shared" ca="1" si="13"/>
        <v>5</v>
      </c>
      <c r="G92" s="9">
        <f t="shared" ca="1" si="14"/>
        <v>0.21590292183281345</v>
      </c>
      <c r="H92" s="10">
        <f t="shared" ca="1" si="15"/>
        <v>9</v>
      </c>
    </row>
    <row r="93" spans="1:8">
      <c r="A93" s="8">
        <v>88</v>
      </c>
      <c r="B93" s="14">
        <f t="shared" ca="1" si="9"/>
        <v>0.33011011303935212</v>
      </c>
      <c r="C93" s="8" t="str">
        <f t="shared" ca="1" si="10"/>
        <v>Navegación</v>
      </c>
      <c r="D93" s="14">
        <f t="shared" ca="1" si="11"/>
        <v>0.64117931488847257</v>
      </c>
      <c r="E93" s="8">
        <f t="shared" ca="1" si="12"/>
        <v>4</v>
      </c>
      <c r="F93" s="8">
        <f t="shared" ca="1" si="13"/>
        <v>3</v>
      </c>
      <c r="G93" s="14">
        <f t="shared" ca="1" si="14"/>
        <v>0.60960076527925688</v>
      </c>
      <c r="H93" s="8">
        <f t="shared" ca="1" si="15"/>
        <v>13</v>
      </c>
    </row>
    <row r="94" spans="1:8">
      <c r="A94" s="8">
        <v>89</v>
      </c>
      <c r="B94" s="9">
        <f t="shared" ca="1" si="9"/>
        <v>0.76906538954859438</v>
      </c>
      <c r="C94" s="10" t="str">
        <f t="shared" ca="1" si="10"/>
        <v>Carrito</v>
      </c>
      <c r="D94" s="9">
        <f t="shared" ca="1" si="11"/>
        <v>0.33102291311859333</v>
      </c>
      <c r="E94" s="10">
        <f t="shared" ca="1" si="12"/>
        <v>2</v>
      </c>
      <c r="F94" s="10">
        <f t="shared" ca="1" si="13"/>
        <v>1</v>
      </c>
      <c r="G94" s="9">
        <f t="shared" ca="1" si="14"/>
        <v>0.9854832965706668</v>
      </c>
      <c r="H94" s="10">
        <f t="shared" ca="1" si="15"/>
        <v>20</v>
      </c>
    </row>
    <row r="95" spans="1:8">
      <c r="A95" s="8">
        <v>90</v>
      </c>
      <c r="B95" s="14">
        <f t="shared" ca="1" si="9"/>
        <v>0.45413227534183387</v>
      </c>
      <c r="C95" s="8" t="str">
        <f t="shared" ca="1" si="10"/>
        <v>Navegación</v>
      </c>
      <c r="D95" s="14">
        <f t="shared" ca="1" si="11"/>
        <v>0.2502926308740544</v>
      </c>
      <c r="E95" s="8">
        <f t="shared" ca="1" si="12"/>
        <v>2</v>
      </c>
      <c r="F95" s="8">
        <f t="shared" ca="1" si="13"/>
        <v>5</v>
      </c>
      <c r="G95" s="14">
        <f t="shared" ca="1" si="14"/>
        <v>0.62166488547125887</v>
      </c>
      <c r="H95" s="8">
        <f t="shared" ca="1" si="15"/>
        <v>13</v>
      </c>
    </row>
    <row r="96" spans="1:8">
      <c r="A96" s="8">
        <v>91</v>
      </c>
      <c r="B96" s="9">
        <f t="shared" ca="1" si="9"/>
        <v>4.0999637684449586E-2</v>
      </c>
      <c r="C96" s="10" t="str">
        <f t="shared" ca="1" si="10"/>
        <v>Navegación</v>
      </c>
      <c r="D96" s="9">
        <f t="shared" ca="1" si="11"/>
        <v>0.47955428566432701</v>
      </c>
      <c r="E96" s="10">
        <f t="shared" ca="1" si="12"/>
        <v>3</v>
      </c>
      <c r="F96" s="10">
        <f t="shared" ca="1" si="13"/>
        <v>1</v>
      </c>
      <c r="G96" s="9">
        <f t="shared" ca="1" si="14"/>
        <v>0.99887304258438525</v>
      </c>
      <c r="H96" s="10">
        <f t="shared" ca="1" si="15"/>
        <v>24</v>
      </c>
    </row>
    <row r="97" spans="1:8">
      <c r="A97" s="8">
        <v>92</v>
      </c>
      <c r="B97" s="14">
        <f t="shared" ca="1" si="9"/>
        <v>0.18498604774156124</v>
      </c>
      <c r="C97" s="8" t="str">
        <f t="shared" ca="1" si="10"/>
        <v>Navegación</v>
      </c>
      <c r="D97" s="14">
        <f t="shared" ca="1" si="11"/>
        <v>0.16308509941259253</v>
      </c>
      <c r="E97" s="8">
        <f t="shared" ca="1" si="12"/>
        <v>1</v>
      </c>
      <c r="F97" s="8">
        <f t="shared" ca="1" si="13"/>
        <v>3</v>
      </c>
      <c r="G97" s="14">
        <f t="shared" ca="1" si="14"/>
        <v>0.19640825750848501</v>
      </c>
      <c r="H97" s="8">
        <f t="shared" ca="1" si="15"/>
        <v>9</v>
      </c>
    </row>
    <row r="98" spans="1:8">
      <c r="A98" s="8">
        <v>93</v>
      </c>
      <c r="B98" s="9">
        <f t="shared" ca="1" si="9"/>
        <v>4.9470429821128481E-2</v>
      </c>
      <c r="C98" s="10" t="str">
        <f t="shared" ca="1" si="10"/>
        <v>Navegación</v>
      </c>
      <c r="D98" s="9">
        <f t="shared" ca="1" si="11"/>
        <v>0.95841222082150168</v>
      </c>
      <c r="E98" s="10">
        <f t="shared" ca="1" si="12"/>
        <v>5</v>
      </c>
      <c r="F98" s="10">
        <f t="shared" ca="1" si="13"/>
        <v>5</v>
      </c>
      <c r="G98" s="9">
        <f t="shared" ca="1" si="14"/>
        <v>0.18101949930660621</v>
      </c>
      <c r="H98" s="10">
        <f t="shared" ca="1" si="15"/>
        <v>9</v>
      </c>
    </row>
    <row r="99" spans="1:8">
      <c r="A99" s="8">
        <v>94</v>
      </c>
      <c r="B99" s="14">
        <f t="shared" ca="1" si="9"/>
        <v>0.11986520131589984</v>
      </c>
      <c r="C99" s="8" t="str">
        <f t="shared" ca="1" si="10"/>
        <v>Navegación</v>
      </c>
      <c r="D99" s="14">
        <f t="shared" ca="1" si="11"/>
        <v>0.36999551005531761</v>
      </c>
      <c r="E99" s="8">
        <f t="shared" ca="1" si="12"/>
        <v>2</v>
      </c>
      <c r="F99" s="8">
        <f t="shared" ca="1" si="13"/>
        <v>4</v>
      </c>
      <c r="G99" s="14">
        <f t="shared" ca="1" si="14"/>
        <v>7.802734618946916E-2</v>
      </c>
      <c r="H99" s="8">
        <f t="shared" ca="1" si="15"/>
        <v>7</v>
      </c>
    </row>
    <row r="100" spans="1:8">
      <c r="A100" s="8">
        <v>95</v>
      </c>
      <c r="B100" s="9">
        <f t="shared" ca="1" si="9"/>
        <v>0.20120588251348825</v>
      </c>
      <c r="C100" s="10" t="str">
        <f t="shared" ca="1" si="10"/>
        <v>Navegación</v>
      </c>
      <c r="D100" s="9">
        <f t="shared" ca="1" si="11"/>
        <v>0.2993522285801028</v>
      </c>
      <c r="E100" s="10">
        <f t="shared" ca="1" si="12"/>
        <v>2</v>
      </c>
      <c r="F100" s="10">
        <f t="shared" ca="1" si="13"/>
        <v>5</v>
      </c>
      <c r="G100" s="9">
        <f t="shared" ca="1" si="14"/>
        <v>0.42026022774368033</v>
      </c>
      <c r="H100" s="10">
        <f t="shared" ca="1" si="15"/>
        <v>11</v>
      </c>
    </row>
    <row r="101" spans="1:8">
      <c r="A101" s="8">
        <v>96</v>
      </c>
      <c r="B101" s="14">
        <f t="shared" ca="1" si="9"/>
        <v>0.80363477563850283</v>
      </c>
      <c r="C101" s="8" t="str">
        <f t="shared" ca="1" si="10"/>
        <v>Carrito</v>
      </c>
      <c r="D101" s="14">
        <f t="shared" ca="1" si="11"/>
        <v>0.28297113367799609</v>
      </c>
      <c r="E101" s="8">
        <f t="shared" ca="1" si="12"/>
        <v>2</v>
      </c>
      <c r="F101" s="8">
        <f t="shared" ca="1" si="13"/>
        <v>3</v>
      </c>
      <c r="G101" s="14">
        <f t="shared" ca="1" si="14"/>
        <v>0.4296138576575852</v>
      </c>
      <c r="H101" s="8">
        <f t="shared" ca="1" si="15"/>
        <v>11</v>
      </c>
    </row>
    <row r="102" spans="1:8">
      <c r="A102" s="8">
        <v>97</v>
      </c>
      <c r="B102" s="9">
        <f t="shared" ca="1" si="9"/>
        <v>3.9598510317337854E-2</v>
      </c>
      <c r="C102" s="10" t="str">
        <f t="shared" ca="1" si="10"/>
        <v>Navegación</v>
      </c>
      <c r="D102" s="9">
        <f t="shared" ca="1" si="11"/>
        <v>0.17743113835690649</v>
      </c>
      <c r="E102" s="10">
        <f t="shared" ca="1" si="12"/>
        <v>1</v>
      </c>
      <c r="F102" s="10">
        <f t="shared" ca="1" si="13"/>
        <v>3</v>
      </c>
      <c r="G102" s="9">
        <f t="shared" ca="1" si="14"/>
        <v>0.93522793360735545</v>
      </c>
      <c r="H102" s="10">
        <f t="shared" ca="1" si="15"/>
        <v>17</v>
      </c>
    </row>
    <row r="103" spans="1:8">
      <c r="A103" s="8">
        <v>98</v>
      </c>
      <c r="B103" s="14">
        <f t="shared" ca="1" si="9"/>
        <v>0.18477307896537454</v>
      </c>
      <c r="C103" s="8" t="str">
        <f t="shared" ca="1" si="10"/>
        <v>Navegación</v>
      </c>
      <c r="D103" s="14">
        <f t="shared" ca="1" si="11"/>
        <v>0.14735128672618525</v>
      </c>
      <c r="E103" s="8">
        <f t="shared" ca="1" si="12"/>
        <v>1</v>
      </c>
      <c r="F103" s="8">
        <f t="shared" ca="1" si="13"/>
        <v>4</v>
      </c>
      <c r="G103" s="14">
        <f t="shared" ca="1" si="14"/>
        <v>0.85439161357177706</v>
      </c>
      <c r="H103" s="8">
        <f t="shared" ca="1" si="15"/>
        <v>16</v>
      </c>
    </row>
    <row r="104" spans="1:8">
      <c r="A104" s="8">
        <v>99</v>
      </c>
      <c r="B104" s="9">
        <f t="shared" ca="1" si="9"/>
        <v>0.28396528936110221</v>
      </c>
      <c r="C104" s="10" t="str">
        <f t="shared" ca="1" si="10"/>
        <v>Navegación</v>
      </c>
      <c r="D104" s="9">
        <f t="shared" ca="1" si="11"/>
        <v>0.60439527858155795</v>
      </c>
      <c r="E104" s="10">
        <f t="shared" ca="1" si="12"/>
        <v>4</v>
      </c>
      <c r="F104" s="10">
        <f t="shared" ca="1" si="13"/>
        <v>1</v>
      </c>
      <c r="G104" s="9">
        <f t="shared" ca="1" si="14"/>
        <v>0.58849406734103149</v>
      </c>
      <c r="H104" s="10">
        <f t="shared" ca="1" si="15"/>
        <v>13</v>
      </c>
    </row>
    <row r="105" spans="1:8">
      <c r="A105" s="8">
        <v>100</v>
      </c>
      <c r="B105" s="14">
        <f t="shared" ca="1" si="9"/>
        <v>0.72151145513024983</v>
      </c>
      <c r="C105" s="8" t="str">
        <f t="shared" ca="1" si="10"/>
        <v>Carrito</v>
      </c>
      <c r="D105" s="14">
        <f t="shared" ca="1" si="11"/>
        <v>0.54410604734720136</v>
      </c>
      <c r="E105" s="8">
        <f t="shared" ca="1" si="12"/>
        <v>3</v>
      </c>
      <c r="F105" s="8">
        <f t="shared" ca="1" si="13"/>
        <v>3</v>
      </c>
      <c r="G105" s="14">
        <f t="shared" ca="1" si="14"/>
        <v>0.27983096071718938</v>
      </c>
      <c r="H105" s="8">
        <f t="shared" ca="1" si="15"/>
        <v>10</v>
      </c>
    </row>
    <row r="106" spans="1:8">
      <c r="A106" s="8">
        <v>101</v>
      </c>
      <c r="B106" s="9">
        <f t="shared" ca="1" si="9"/>
        <v>0.12213263417913633</v>
      </c>
      <c r="C106" s="10" t="str">
        <f t="shared" ca="1" si="10"/>
        <v>Navegación</v>
      </c>
      <c r="D106" s="9">
        <f t="shared" ca="1" si="11"/>
        <v>0.29771302279374667</v>
      </c>
      <c r="E106" s="10">
        <f t="shared" ca="1" si="12"/>
        <v>2</v>
      </c>
      <c r="F106" s="10">
        <f t="shared" ca="1" si="13"/>
        <v>5</v>
      </c>
      <c r="G106" s="9">
        <f t="shared" ca="1" si="14"/>
        <v>0.71358033583996672</v>
      </c>
      <c r="H106" s="10">
        <f t="shared" ca="1" si="15"/>
        <v>14</v>
      </c>
    </row>
    <row r="107" spans="1:8">
      <c r="A107" s="8">
        <v>102</v>
      </c>
      <c r="B107" s="14">
        <f t="shared" ca="1" si="9"/>
        <v>0.79845268824663229</v>
      </c>
      <c r="C107" s="8" t="str">
        <f t="shared" ca="1" si="10"/>
        <v>Carrito</v>
      </c>
      <c r="D107" s="14">
        <f t="shared" ca="1" si="11"/>
        <v>0.47809039636504225</v>
      </c>
      <c r="E107" s="8">
        <f t="shared" ca="1" si="12"/>
        <v>3</v>
      </c>
      <c r="F107" s="8">
        <f t="shared" ca="1" si="13"/>
        <v>4</v>
      </c>
      <c r="G107" s="14">
        <f t="shared" ca="1" si="14"/>
        <v>9.5218952678716939E-2</v>
      </c>
      <c r="H107" s="8">
        <f t="shared" ca="1" si="15"/>
        <v>8</v>
      </c>
    </row>
    <row r="108" spans="1:8">
      <c r="A108" s="8">
        <v>103</v>
      </c>
      <c r="B108" s="9">
        <f t="shared" ca="1" si="9"/>
        <v>4.580283439324051E-2</v>
      </c>
      <c r="C108" s="10" t="str">
        <f t="shared" ca="1" si="10"/>
        <v>Navegación</v>
      </c>
      <c r="D108" s="9">
        <f t="shared" ca="1" si="11"/>
        <v>0.69995104264195163</v>
      </c>
      <c r="E108" s="10">
        <f t="shared" ca="1" si="12"/>
        <v>4</v>
      </c>
      <c r="F108" s="10">
        <f t="shared" ca="1" si="13"/>
        <v>5</v>
      </c>
      <c r="G108" s="9">
        <f t="shared" ca="1" si="14"/>
        <v>2.7193077067505511E-2</v>
      </c>
      <c r="H108" s="10">
        <f t="shared" ca="1" si="15"/>
        <v>6</v>
      </c>
    </row>
    <row r="109" spans="1:8">
      <c r="A109" s="8">
        <v>104</v>
      </c>
      <c r="B109" s="14">
        <f t="shared" ca="1" si="9"/>
        <v>0.13705991090527814</v>
      </c>
      <c r="C109" s="8" t="str">
        <f t="shared" ca="1" si="10"/>
        <v>Navegación</v>
      </c>
      <c r="D109" s="14">
        <f t="shared" ca="1" si="11"/>
        <v>0.4846479577797469</v>
      </c>
      <c r="E109" s="8">
        <f t="shared" ca="1" si="12"/>
        <v>3</v>
      </c>
      <c r="F109" s="8">
        <f t="shared" ca="1" si="13"/>
        <v>5</v>
      </c>
      <c r="G109" s="14">
        <f t="shared" ca="1" si="14"/>
        <v>0.21226632900963083</v>
      </c>
      <c r="H109" s="8">
        <f t="shared" ca="1" si="15"/>
        <v>9</v>
      </c>
    </row>
    <row r="110" spans="1:8">
      <c r="A110" s="8">
        <v>105</v>
      </c>
      <c r="B110" s="9">
        <f t="shared" ca="1" si="9"/>
        <v>8.2428405674427663E-2</v>
      </c>
      <c r="C110" s="10" t="str">
        <f t="shared" ca="1" si="10"/>
        <v>Navegación</v>
      </c>
      <c r="D110" s="9">
        <f t="shared" ca="1" si="11"/>
        <v>0.35465216059525939</v>
      </c>
      <c r="E110" s="10">
        <f t="shared" ca="1" si="12"/>
        <v>2</v>
      </c>
      <c r="F110" s="10">
        <f t="shared" ca="1" si="13"/>
        <v>4</v>
      </c>
      <c r="G110" s="9">
        <f t="shared" ca="1" si="14"/>
        <v>0.48933539684641825</v>
      </c>
      <c r="H110" s="10">
        <f t="shared" ca="1" si="15"/>
        <v>12</v>
      </c>
    </row>
    <row r="111" spans="1:8">
      <c r="A111" s="8">
        <v>106</v>
      </c>
      <c r="B111" s="14">
        <f t="shared" ca="1" si="9"/>
        <v>0.48438809431555929</v>
      </c>
      <c r="C111" s="8" t="str">
        <f t="shared" ca="1" si="10"/>
        <v>Navegación</v>
      </c>
      <c r="D111" s="14">
        <f t="shared" ca="1" si="11"/>
        <v>0.42523498078599564</v>
      </c>
      <c r="E111" s="8">
        <f t="shared" ca="1" si="12"/>
        <v>3</v>
      </c>
      <c r="F111" s="8">
        <f t="shared" ca="1" si="13"/>
        <v>3</v>
      </c>
      <c r="G111" s="14">
        <f t="shared" ca="1" si="14"/>
        <v>0.52693286146900742</v>
      </c>
      <c r="H111" s="8">
        <f t="shared" ca="1" si="15"/>
        <v>12</v>
      </c>
    </row>
    <row r="112" spans="1:8">
      <c r="A112" s="8">
        <v>107</v>
      </c>
      <c r="B112" s="9">
        <f t="shared" ca="1" si="9"/>
        <v>0.81496134503211282</v>
      </c>
      <c r="C112" s="10" t="str">
        <f t="shared" ca="1" si="10"/>
        <v>Carrito</v>
      </c>
      <c r="D112" s="9">
        <f t="shared" ca="1" si="11"/>
        <v>0.16836985322912734</v>
      </c>
      <c r="E112" s="10">
        <f t="shared" ca="1" si="12"/>
        <v>1</v>
      </c>
      <c r="F112" s="10">
        <f t="shared" ca="1" si="13"/>
        <v>4</v>
      </c>
      <c r="G112" s="9">
        <f t="shared" ca="1" si="14"/>
        <v>0.7422740926873248</v>
      </c>
      <c r="H112" s="10">
        <f t="shared" ca="1" si="15"/>
        <v>14</v>
      </c>
    </row>
    <row r="113" spans="1:8">
      <c r="A113" s="8">
        <v>108</v>
      </c>
      <c r="B113" s="14">
        <f t="shared" ca="1" si="9"/>
        <v>0.41376846696060487</v>
      </c>
      <c r="C113" s="8" t="str">
        <f t="shared" ca="1" si="10"/>
        <v>Navegación</v>
      </c>
      <c r="D113" s="14">
        <f t="shared" ca="1" si="11"/>
        <v>0.64449680399801179</v>
      </c>
      <c r="E113" s="8">
        <f t="shared" ca="1" si="12"/>
        <v>4</v>
      </c>
      <c r="F113" s="8">
        <f t="shared" ca="1" si="13"/>
        <v>5</v>
      </c>
      <c r="G113" s="14">
        <f t="shared" ca="1" si="14"/>
        <v>0.32141393528733631</v>
      </c>
      <c r="H113" s="8">
        <f t="shared" ca="1" si="15"/>
        <v>10</v>
      </c>
    </row>
    <row r="114" spans="1:8">
      <c r="A114" s="8">
        <v>109</v>
      </c>
      <c r="B114" s="9">
        <f t="shared" ca="1" si="9"/>
        <v>0.86225170946146157</v>
      </c>
      <c r="C114" s="10" t="str">
        <f t="shared" ca="1" si="10"/>
        <v>Checkout</v>
      </c>
      <c r="D114" s="9">
        <f t="shared" ca="1" si="11"/>
        <v>0.41211145611237487</v>
      </c>
      <c r="E114" s="10">
        <f t="shared" ca="1" si="12"/>
        <v>3</v>
      </c>
      <c r="F114" s="10">
        <f t="shared" ca="1" si="13"/>
        <v>5</v>
      </c>
      <c r="G114" s="9">
        <f t="shared" ca="1" si="14"/>
        <v>0.96060522732719922</v>
      </c>
      <c r="H114" s="10">
        <f t="shared" ca="1" si="15"/>
        <v>18</v>
      </c>
    </row>
    <row r="115" spans="1:8">
      <c r="A115" s="8">
        <v>110</v>
      </c>
      <c r="B115" s="14">
        <f t="shared" ca="1" si="9"/>
        <v>0.88116967277672209</v>
      </c>
      <c r="C115" s="8" t="str">
        <f t="shared" ca="1" si="10"/>
        <v>Checkout</v>
      </c>
      <c r="D115" s="14">
        <f t="shared" ca="1" si="11"/>
        <v>0.11106359610077166</v>
      </c>
      <c r="E115" s="8">
        <f t="shared" ca="1" si="12"/>
        <v>1</v>
      </c>
      <c r="F115" s="8">
        <f t="shared" ca="1" si="13"/>
        <v>3</v>
      </c>
      <c r="G115" s="14">
        <f t="shared" ca="1" si="14"/>
        <v>0.7595160112606183</v>
      </c>
      <c r="H115" s="8">
        <f t="shared" ca="1" si="15"/>
        <v>14</v>
      </c>
    </row>
    <row r="116" spans="1:8">
      <c r="A116" s="8">
        <v>111</v>
      </c>
      <c r="B116" s="9">
        <f t="shared" ca="1" si="9"/>
        <v>0.43666601799978277</v>
      </c>
      <c r="C116" s="10" t="str">
        <f t="shared" ca="1" si="10"/>
        <v>Navegación</v>
      </c>
      <c r="D116" s="9">
        <f t="shared" ca="1" si="11"/>
        <v>0.78541324911082377</v>
      </c>
      <c r="E116" s="10">
        <f t="shared" ca="1" si="12"/>
        <v>4</v>
      </c>
      <c r="F116" s="10">
        <f t="shared" ca="1" si="13"/>
        <v>3</v>
      </c>
      <c r="G116" s="9">
        <f t="shared" ca="1" si="14"/>
        <v>0.52155971605128582</v>
      </c>
      <c r="H116" s="10">
        <f t="shared" ca="1" si="15"/>
        <v>12</v>
      </c>
    </row>
    <row r="117" spans="1:8">
      <c r="A117" s="8">
        <v>112</v>
      </c>
      <c r="B117" s="14">
        <f t="shared" ca="1" si="9"/>
        <v>0.65019336743542189</v>
      </c>
      <c r="C117" s="8" t="str">
        <f t="shared" ca="1" si="10"/>
        <v>Carrito</v>
      </c>
      <c r="D117" s="14">
        <f t="shared" ca="1" si="11"/>
        <v>0.24272667874730769</v>
      </c>
      <c r="E117" s="8">
        <f t="shared" ca="1" si="12"/>
        <v>2</v>
      </c>
      <c r="F117" s="8">
        <f t="shared" ca="1" si="13"/>
        <v>2</v>
      </c>
      <c r="G117" s="14">
        <f t="shared" ca="1" si="14"/>
        <v>0.57606698108845578</v>
      </c>
      <c r="H117" s="8">
        <f t="shared" ca="1" si="15"/>
        <v>13</v>
      </c>
    </row>
    <row r="118" spans="1:8">
      <c r="A118" s="8">
        <v>113</v>
      </c>
      <c r="B118" s="9">
        <f t="shared" ca="1" si="9"/>
        <v>0.26947664662005089</v>
      </c>
      <c r="C118" s="10" t="str">
        <f t="shared" ca="1" si="10"/>
        <v>Navegación</v>
      </c>
      <c r="D118" s="9">
        <f t="shared" ca="1" si="11"/>
        <v>9.9412261758990428E-2</v>
      </c>
      <c r="E118" s="10">
        <f t="shared" ca="1" si="12"/>
        <v>1</v>
      </c>
      <c r="F118" s="10">
        <f t="shared" ca="1" si="13"/>
        <v>1</v>
      </c>
      <c r="G118" s="9">
        <f t="shared" ca="1" si="14"/>
        <v>2.7886233308611952E-2</v>
      </c>
      <c r="H118" s="10">
        <f t="shared" ca="1" si="15"/>
        <v>6</v>
      </c>
    </row>
    <row r="119" spans="1:8">
      <c r="A119" s="8">
        <v>114</v>
      </c>
      <c r="B119" s="14">
        <f t="shared" ca="1" si="9"/>
        <v>0.96386998595917361</v>
      </c>
      <c r="C119" s="8" t="str">
        <f t="shared" ca="1" si="10"/>
        <v>Checkout</v>
      </c>
      <c r="D119" s="14">
        <f t="shared" ca="1" si="11"/>
        <v>0.80808901538738132</v>
      </c>
      <c r="E119" s="8">
        <f t="shared" ca="1" si="12"/>
        <v>5</v>
      </c>
      <c r="F119" s="8">
        <f t="shared" ca="1" si="13"/>
        <v>5</v>
      </c>
      <c r="G119" s="14">
        <f t="shared" ca="1" si="14"/>
        <v>0.84034441498519763</v>
      </c>
      <c r="H119" s="8">
        <f t="shared" ca="1" si="15"/>
        <v>15</v>
      </c>
    </row>
    <row r="120" spans="1:8">
      <c r="A120" s="8">
        <v>115</v>
      </c>
      <c r="B120" s="9">
        <f t="shared" ca="1" si="9"/>
        <v>0.66047810288103759</v>
      </c>
      <c r="C120" s="10" t="str">
        <f t="shared" ca="1" si="10"/>
        <v>Carrito</v>
      </c>
      <c r="D120" s="9">
        <f t="shared" ca="1" si="11"/>
        <v>0.49579670104071694</v>
      </c>
      <c r="E120" s="10">
        <f t="shared" ca="1" si="12"/>
        <v>3</v>
      </c>
      <c r="F120" s="10">
        <f t="shared" ca="1" si="13"/>
        <v>4</v>
      </c>
      <c r="G120" s="9">
        <f t="shared" ca="1" si="14"/>
        <v>0.32438678326256876</v>
      </c>
      <c r="H120" s="10">
        <f t="shared" ca="1" si="15"/>
        <v>10</v>
      </c>
    </row>
    <row r="121" spans="1:8">
      <c r="A121" s="8">
        <v>116</v>
      </c>
      <c r="B121" s="14">
        <f t="shared" ca="1" si="9"/>
        <v>0.94386103173508817</v>
      </c>
      <c r="C121" s="8" t="str">
        <f t="shared" ca="1" si="10"/>
        <v>Checkout</v>
      </c>
      <c r="D121" s="14">
        <f t="shared" ca="1" si="11"/>
        <v>0.43377217310548355</v>
      </c>
      <c r="E121" s="8">
        <f t="shared" ca="1" si="12"/>
        <v>3</v>
      </c>
      <c r="F121" s="8">
        <f t="shared" ca="1" si="13"/>
        <v>4</v>
      </c>
      <c r="G121" s="14">
        <f t="shared" ca="1" si="14"/>
        <v>0.76809152957644533</v>
      </c>
      <c r="H121" s="8">
        <f t="shared" ca="1" si="15"/>
        <v>14</v>
      </c>
    </row>
    <row r="122" spans="1:8">
      <c r="A122" s="8">
        <v>117</v>
      </c>
      <c r="B122" s="9">
        <f t="shared" ca="1" si="9"/>
        <v>0.18872991636656422</v>
      </c>
      <c r="C122" s="10" t="str">
        <f t="shared" ca="1" si="10"/>
        <v>Navegación</v>
      </c>
      <c r="D122" s="9">
        <f t="shared" ca="1" si="11"/>
        <v>0.95214967452440169</v>
      </c>
      <c r="E122" s="10">
        <f t="shared" ca="1" si="12"/>
        <v>5</v>
      </c>
      <c r="F122" s="10">
        <f t="shared" ca="1" si="13"/>
        <v>5</v>
      </c>
      <c r="G122" s="9">
        <f t="shared" ca="1" si="14"/>
        <v>0.24303010053260976</v>
      </c>
      <c r="H122" s="10">
        <f t="shared" ca="1" si="15"/>
        <v>10</v>
      </c>
    </row>
    <row r="123" spans="1:8">
      <c r="A123" s="8">
        <v>118</v>
      </c>
      <c r="B123" s="14">
        <f t="shared" ca="1" si="9"/>
        <v>0.35592130761232343</v>
      </c>
      <c r="C123" s="8" t="str">
        <f t="shared" ca="1" si="10"/>
        <v>Navegación</v>
      </c>
      <c r="D123" s="14">
        <f t="shared" ca="1" si="11"/>
        <v>4.0844365783175518E-2</v>
      </c>
      <c r="E123" s="8">
        <f t="shared" ca="1" si="12"/>
        <v>1</v>
      </c>
      <c r="F123" s="8">
        <f t="shared" ca="1" si="13"/>
        <v>5</v>
      </c>
      <c r="G123" s="14">
        <f t="shared" ca="1" si="14"/>
        <v>0.17035782672400746</v>
      </c>
      <c r="H123" s="8">
        <f t="shared" ca="1" si="15"/>
        <v>9</v>
      </c>
    </row>
    <row r="124" spans="1:8">
      <c r="A124" s="8">
        <v>119</v>
      </c>
      <c r="B124" s="9">
        <f t="shared" ca="1" si="9"/>
        <v>0.77569726010631168</v>
      </c>
      <c r="C124" s="10" t="str">
        <f t="shared" ca="1" si="10"/>
        <v>Carrito</v>
      </c>
      <c r="D124" s="9">
        <f t="shared" ca="1" si="11"/>
        <v>0.76248368124760968</v>
      </c>
      <c r="E124" s="10">
        <f t="shared" ca="1" si="12"/>
        <v>4</v>
      </c>
      <c r="F124" s="10">
        <f t="shared" ca="1" si="13"/>
        <v>4</v>
      </c>
      <c r="G124" s="9">
        <f t="shared" ca="1" si="14"/>
        <v>0.29022762788304213</v>
      </c>
      <c r="H124" s="10">
        <f t="shared" ca="1" si="15"/>
        <v>10</v>
      </c>
    </row>
    <row r="125" spans="1:8">
      <c r="A125" s="8">
        <v>120</v>
      </c>
      <c r="B125" s="14">
        <f t="shared" ca="1" si="9"/>
        <v>0.82314401674874826</v>
      </c>
      <c r="C125" s="8" t="str">
        <f t="shared" ca="1" si="10"/>
        <v>Carrito</v>
      </c>
      <c r="D125" s="14">
        <f t="shared" ca="1" si="11"/>
        <v>0.98080572066925176</v>
      </c>
      <c r="E125" s="8">
        <f t="shared" ca="1" si="12"/>
        <v>5</v>
      </c>
      <c r="F125" s="8">
        <f t="shared" ca="1" si="13"/>
        <v>5</v>
      </c>
      <c r="G125" s="14">
        <f t="shared" ca="1" si="14"/>
        <v>0.96988202469991658</v>
      </c>
      <c r="H125" s="8">
        <f t="shared" ca="1" si="15"/>
        <v>19</v>
      </c>
    </row>
    <row r="126" spans="1:8">
      <c r="A126" s="8">
        <v>121</v>
      </c>
      <c r="B126" s="9">
        <f t="shared" ca="1" si="9"/>
        <v>0.42247567681928999</v>
      </c>
      <c r="C126" s="10" t="str">
        <f t="shared" ca="1" si="10"/>
        <v>Navegación</v>
      </c>
      <c r="D126" s="9">
        <f t="shared" ca="1" si="11"/>
        <v>0.39960458861619841</v>
      </c>
      <c r="E126" s="10">
        <f t="shared" ca="1" si="12"/>
        <v>2</v>
      </c>
      <c r="F126" s="10">
        <f t="shared" ca="1" si="13"/>
        <v>1</v>
      </c>
      <c r="G126" s="9">
        <f t="shared" ca="1" si="14"/>
        <v>0.83125660677125279</v>
      </c>
      <c r="H126" s="10">
        <f t="shared" ca="1" si="15"/>
        <v>15</v>
      </c>
    </row>
    <row r="127" spans="1:8">
      <c r="A127" s="8">
        <v>122</v>
      </c>
      <c r="B127" s="14">
        <f t="shared" ca="1" si="9"/>
        <v>0.66400312288061558</v>
      </c>
      <c r="C127" s="8" t="str">
        <f t="shared" ca="1" si="10"/>
        <v>Carrito</v>
      </c>
      <c r="D127" s="14">
        <f t="shared" ca="1" si="11"/>
        <v>1.1754902793441824E-2</v>
      </c>
      <c r="E127" s="8">
        <f t="shared" ca="1" si="12"/>
        <v>1</v>
      </c>
      <c r="F127" s="8">
        <f t="shared" ca="1" si="13"/>
        <v>3</v>
      </c>
      <c r="G127" s="14">
        <f t="shared" ca="1" si="14"/>
        <v>0.81825375668301414</v>
      </c>
      <c r="H127" s="8">
        <f t="shared" ca="1" si="15"/>
        <v>15</v>
      </c>
    </row>
    <row r="128" spans="1:8">
      <c r="A128" s="8">
        <v>123</v>
      </c>
      <c r="B128" s="9">
        <f t="shared" ca="1" si="9"/>
        <v>0.88904020380131266</v>
      </c>
      <c r="C128" s="10" t="str">
        <f t="shared" ca="1" si="10"/>
        <v>Checkout</v>
      </c>
      <c r="D128" s="9">
        <f t="shared" ca="1" si="11"/>
        <v>0.64069543289787223</v>
      </c>
      <c r="E128" s="10">
        <f t="shared" ca="1" si="12"/>
        <v>4</v>
      </c>
      <c r="F128" s="10">
        <f t="shared" ca="1" si="13"/>
        <v>5</v>
      </c>
      <c r="G128" s="9">
        <f t="shared" ca="1" si="14"/>
        <v>0.59855810363451345</v>
      </c>
      <c r="H128" s="10">
        <f t="shared" ca="1" si="15"/>
        <v>13</v>
      </c>
    </row>
    <row r="129" spans="1:8">
      <c r="A129" s="8">
        <v>124</v>
      </c>
      <c r="B129" s="14">
        <f t="shared" ca="1" si="9"/>
        <v>0.99554721025657011</v>
      </c>
      <c r="C129" s="8" t="str">
        <f t="shared" ca="1" si="10"/>
        <v>Checkout</v>
      </c>
      <c r="D129" s="14">
        <f t="shared" ca="1" si="11"/>
        <v>0.69609827646235767</v>
      </c>
      <c r="E129" s="8">
        <f t="shared" ca="1" si="12"/>
        <v>4</v>
      </c>
      <c r="F129" s="8">
        <f t="shared" ca="1" si="13"/>
        <v>4</v>
      </c>
      <c r="G129" s="14">
        <f t="shared" ca="1" si="14"/>
        <v>0.54137478839710451</v>
      </c>
      <c r="H129" s="8">
        <f t="shared" ca="1" si="15"/>
        <v>12</v>
      </c>
    </row>
    <row r="130" spans="1:8">
      <c r="A130" s="8">
        <v>125</v>
      </c>
      <c r="B130" s="9">
        <f t="shared" ca="1" si="9"/>
        <v>0.19589736235676414</v>
      </c>
      <c r="C130" s="10" t="str">
        <f t="shared" ca="1" si="10"/>
        <v>Navegación</v>
      </c>
      <c r="D130" s="9">
        <f t="shared" ca="1" si="11"/>
        <v>7.2701001223724915E-2</v>
      </c>
      <c r="E130" s="10">
        <f t="shared" ca="1" si="12"/>
        <v>1</v>
      </c>
      <c r="F130" s="10">
        <f t="shared" ca="1" si="13"/>
        <v>3</v>
      </c>
      <c r="G130" s="9">
        <f t="shared" ca="1" si="14"/>
        <v>0.77950688274801094</v>
      </c>
      <c r="H130" s="10">
        <f t="shared" ca="1" si="15"/>
        <v>15</v>
      </c>
    </row>
    <row r="131" spans="1:8">
      <c r="A131" s="8">
        <v>126</v>
      </c>
      <c r="B131" s="14">
        <f t="shared" ca="1" si="9"/>
        <v>7.787746790554495E-3</v>
      </c>
      <c r="C131" s="8" t="str">
        <f t="shared" ca="1" si="10"/>
        <v>Navegación</v>
      </c>
      <c r="D131" s="14">
        <f t="shared" ca="1" si="11"/>
        <v>0.63822306816020835</v>
      </c>
      <c r="E131" s="8">
        <f t="shared" ca="1" si="12"/>
        <v>4</v>
      </c>
      <c r="F131" s="8">
        <f t="shared" ca="1" si="13"/>
        <v>5</v>
      </c>
      <c r="G131" s="14">
        <f t="shared" ca="1" si="14"/>
        <v>9.3130636083126439E-2</v>
      </c>
      <c r="H131" s="8">
        <f t="shared" ca="1" si="15"/>
        <v>8</v>
      </c>
    </row>
    <row r="132" spans="1:8">
      <c r="A132" s="8">
        <v>127</v>
      </c>
      <c r="B132" s="9">
        <f t="shared" ca="1" si="9"/>
        <v>0.85241781671223837</v>
      </c>
      <c r="C132" s="10" t="str">
        <f t="shared" ca="1" si="10"/>
        <v>Checkout</v>
      </c>
      <c r="D132" s="9">
        <f t="shared" ca="1" si="11"/>
        <v>0.37344547811906115</v>
      </c>
      <c r="E132" s="10">
        <f t="shared" ca="1" si="12"/>
        <v>2</v>
      </c>
      <c r="F132" s="10">
        <f t="shared" ca="1" si="13"/>
        <v>2</v>
      </c>
      <c r="G132" s="9">
        <f t="shared" ca="1" si="14"/>
        <v>0.33385459472654411</v>
      </c>
      <c r="H132" s="10">
        <f t="shared" ca="1" si="15"/>
        <v>10</v>
      </c>
    </row>
    <row r="133" spans="1:8">
      <c r="A133" s="8">
        <v>128</v>
      </c>
      <c r="B133" s="14">
        <f t="shared" ca="1" si="9"/>
        <v>8.0365317707996486E-2</v>
      </c>
      <c r="C133" s="8" t="str">
        <f t="shared" ca="1" si="10"/>
        <v>Navegación</v>
      </c>
      <c r="D133" s="14">
        <f t="shared" ca="1" si="11"/>
        <v>0.42050005543487701</v>
      </c>
      <c r="E133" s="8">
        <f t="shared" ca="1" si="12"/>
        <v>3</v>
      </c>
      <c r="F133" s="8">
        <f t="shared" ca="1" si="13"/>
        <v>1</v>
      </c>
      <c r="G133" s="14">
        <f t="shared" ca="1" si="14"/>
        <v>0.25452862517843711</v>
      </c>
      <c r="H133" s="8">
        <f t="shared" ca="1" si="15"/>
        <v>10</v>
      </c>
    </row>
    <row r="134" spans="1:8">
      <c r="A134" s="8">
        <v>129</v>
      </c>
      <c r="B134" s="9">
        <f t="shared" ref="B134:B197" ca="1" si="16">RAND()</f>
        <v>0.91971088973843029</v>
      </c>
      <c r="C134" s="10" t="str">
        <f t="shared" ref="C134:C197" ca="1" si="17">VLOOKUP(B134, $J$6:$K$8, 2, TRUE)</f>
        <v>Checkout</v>
      </c>
      <c r="D134" s="9">
        <f t="shared" ref="D134:D197" ca="1" si="18">RAND()</f>
        <v>0.6209179153464931</v>
      </c>
      <c r="E134" s="10">
        <f t="shared" ref="E134:E197" ca="1" si="19">INT(D134*($O$7-$O$6+1))+$O$6</f>
        <v>4</v>
      </c>
      <c r="F134" s="10">
        <f t="shared" ref="F134:F197" ca="1" si="20">RANDBETWEEN($O$6, $O$7)</f>
        <v>4</v>
      </c>
      <c r="G134" s="9">
        <f t="shared" ref="G134:G197" ca="1" si="21">RAND()</f>
        <v>0.41152628894202559</v>
      </c>
      <c r="H134" s="10">
        <f t="shared" ref="H134:H197" ca="1" si="22">VLOOKUP(G134, $W$5:$X$39, 2, TRUE)</f>
        <v>11</v>
      </c>
    </row>
    <row r="135" spans="1:8">
      <c r="A135" s="8">
        <v>130</v>
      </c>
      <c r="B135" s="14">
        <f t="shared" ca="1" si="16"/>
        <v>0.90986595715107899</v>
      </c>
      <c r="C135" s="8" t="str">
        <f t="shared" ca="1" si="17"/>
        <v>Checkout</v>
      </c>
      <c r="D135" s="14">
        <f t="shared" ca="1" si="18"/>
        <v>0.2952860494812567</v>
      </c>
      <c r="E135" s="8">
        <f t="shared" ca="1" si="19"/>
        <v>2</v>
      </c>
      <c r="F135" s="8">
        <f t="shared" ca="1" si="20"/>
        <v>1</v>
      </c>
      <c r="G135" s="14">
        <f t="shared" ca="1" si="21"/>
        <v>0.86196007554624166</v>
      </c>
      <c r="H135" s="8">
        <f t="shared" ca="1" si="22"/>
        <v>16</v>
      </c>
    </row>
    <row r="136" spans="1:8">
      <c r="A136" s="8">
        <v>131</v>
      </c>
      <c r="B136" s="9">
        <f t="shared" ca="1" si="16"/>
        <v>6.8554838962827103E-2</v>
      </c>
      <c r="C136" s="10" t="str">
        <f t="shared" ca="1" si="17"/>
        <v>Navegación</v>
      </c>
      <c r="D136" s="9">
        <f t="shared" ca="1" si="18"/>
        <v>0.93337241128047899</v>
      </c>
      <c r="E136" s="10">
        <f t="shared" ca="1" si="19"/>
        <v>5</v>
      </c>
      <c r="F136" s="10">
        <f t="shared" ca="1" si="20"/>
        <v>5</v>
      </c>
      <c r="G136" s="9">
        <f t="shared" ca="1" si="21"/>
        <v>0.11742659147939127</v>
      </c>
      <c r="H136" s="10">
        <f t="shared" ca="1" si="22"/>
        <v>8</v>
      </c>
    </row>
    <row r="137" spans="1:8">
      <c r="A137" s="8">
        <v>132</v>
      </c>
      <c r="B137" s="14">
        <f t="shared" ca="1" si="16"/>
        <v>0.20613239442378362</v>
      </c>
      <c r="C137" s="8" t="str">
        <f t="shared" ca="1" si="17"/>
        <v>Navegación</v>
      </c>
      <c r="D137" s="14">
        <f t="shared" ca="1" si="18"/>
        <v>0.45428875086455434</v>
      </c>
      <c r="E137" s="8">
        <f t="shared" ca="1" si="19"/>
        <v>3</v>
      </c>
      <c r="F137" s="8">
        <f t="shared" ca="1" si="20"/>
        <v>4</v>
      </c>
      <c r="G137" s="14">
        <f t="shared" ca="1" si="21"/>
        <v>0.52648102852985357</v>
      </c>
      <c r="H137" s="8">
        <f t="shared" ca="1" si="22"/>
        <v>12</v>
      </c>
    </row>
    <row r="138" spans="1:8">
      <c r="A138" s="8">
        <v>133</v>
      </c>
      <c r="B138" s="9">
        <f t="shared" ca="1" si="16"/>
        <v>0.33122924029607625</v>
      </c>
      <c r="C138" s="10" t="str">
        <f t="shared" ca="1" si="17"/>
        <v>Navegación</v>
      </c>
      <c r="D138" s="9">
        <f t="shared" ca="1" si="18"/>
        <v>2.6468198624885364E-2</v>
      </c>
      <c r="E138" s="10">
        <f t="shared" ca="1" si="19"/>
        <v>1</v>
      </c>
      <c r="F138" s="10">
        <f t="shared" ca="1" si="20"/>
        <v>1</v>
      </c>
      <c r="G138" s="9">
        <f t="shared" ca="1" si="21"/>
        <v>0.43756555655566642</v>
      </c>
      <c r="H138" s="10">
        <f t="shared" ca="1" si="22"/>
        <v>11</v>
      </c>
    </row>
    <row r="139" spans="1:8">
      <c r="A139" s="8">
        <v>134</v>
      </c>
      <c r="B139" s="14">
        <f t="shared" ca="1" si="16"/>
        <v>0.65111959216496973</v>
      </c>
      <c r="C139" s="8" t="str">
        <f t="shared" ca="1" si="17"/>
        <v>Carrito</v>
      </c>
      <c r="D139" s="14">
        <f t="shared" ca="1" si="18"/>
        <v>0.69322649279275195</v>
      </c>
      <c r="E139" s="8">
        <f t="shared" ca="1" si="19"/>
        <v>4</v>
      </c>
      <c r="F139" s="8">
        <f t="shared" ca="1" si="20"/>
        <v>4</v>
      </c>
      <c r="G139" s="14">
        <f t="shared" ca="1" si="21"/>
        <v>0.23176181776700189</v>
      </c>
      <c r="H139" s="8">
        <f t="shared" ca="1" si="22"/>
        <v>9</v>
      </c>
    </row>
    <row r="140" spans="1:8">
      <c r="A140" s="8">
        <v>135</v>
      </c>
      <c r="B140" s="9">
        <f t="shared" ca="1" si="16"/>
        <v>0.64169607508568027</v>
      </c>
      <c r="C140" s="10" t="str">
        <f t="shared" ca="1" si="17"/>
        <v>Carrito</v>
      </c>
      <c r="D140" s="9">
        <f t="shared" ca="1" si="18"/>
        <v>0.57575988341641859</v>
      </c>
      <c r="E140" s="10">
        <f t="shared" ca="1" si="19"/>
        <v>3</v>
      </c>
      <c r="F140" s="10">
        <f t="shared" ca="1" si="20"/>
        <v>2</v>
      </c>
      <c r="G140" s="9">
        <f t="shared" ca="1" si="21"/>
        <v>6.5001134117990689E-2</v>
      </c>
      <c r="H140" s="10">
        <f t="shared" ca="1" si="22"/>
        <v>7</v>
      </c>
    </row>
    <row r="141" spans="1:8">
      <c r="A141" s="8">
        <v>136</v>
      </c>
      <c r="B141" s="14">
        <f t="shared" ca="1" si="16"/>
        <v>0.97967990870144861</v>
      </c>
      <c r="C141" s="8" t="str">
        <f t="shared" ca="1" si="17"/>
        <v>Checkout</v>
      </c>
      <c r="D141" s="14">
        <f t="shared" ca="1" si="18"/>
        <v>0.64844000398410739</v>
      </c>
      <c r="E141" s="8">
        <f t="shared" ca="1" si="19"/>
        <v>4</v>
      </c>
      <c r="F141" s="8">
        <f t="shared" ca="1" si="20"/>
        <v>1</v>
      </c>
      <c r="G141" s="14">
        <f t="shared" ca="1" si="21"/>
        <v>0.55571328185954028</v>
      </c>
      <c r="H141" s="8">
        <f t="shared" ca="1" si="22"/>
        <v>12</v>
      </c>
    </row>
    <row r="142" spans="1:8">
      <c r="A142" s="8">
        <v>137</v>
      </c>
      <c r="B142" s="9">
        <f t="shared" ca="1" si="16"/>
        <v>0.27047591366462731</v>
      </c>
      <c r="C142" s="10" t="str">
        <f t="shared" ca="1" si="17"/>
        <v>Navegación</v>
      </c>
      <c r="D142" s="9">
        <f t="shared" ca="1" si="18"/>
        <v>0.12919336662263237</v>
      </c>
      <c r="E142" s="10">
        <f t="shared" ca="1" si="19"/>
        <v>1</v>
      </c>
      <c r="F142" s="10">
        <f t="shared" ca="1" si="20"/>
        <v>3</v>
      </c>
      <c r="G142" s="9">
        <f t="shared" ca="1" si="21"/>
        <v>0.3278027046929568</v>
      </c>
      <c r="H142" s="10">
        <f t="shared" ca="1" si="22"/>
        <v>10</v>
      </c>
    </row>
    <row r="143" spans="1:8">
      <c r="A143" s="8">
        <v>138</v>
      </c>
      <c r="B143" s="14">
        <f t="shared" ca="1" si="16"/>
        <v>0.33623814423836251</v>
      </c>
      <c r="C143" s="8" t="str">
        <f t="shared" ca="1" si="17"/>
        <v>Navegación</v>
      </c>
      <c r="D143" s="14">
        <f t="shared" ca="1" si="18"/>
        <v>0.4841620115145675</v>
      </c>
      <c r="E143" s="8">
        <f t="shared" ca="1" si="19"/>
        <v>3</v>
      </c>
      <c r="F143" s="8">
        <f t="shared" ca="1" si="20"/>
        <v>3</v>
      </c>
      <c r="G143" s="14">
        <f t="shared" ca="1" si="21"/>
        <v>0.51749189862674672</v>
      </c>
      <c r="H143" s="8">
        <f t="shared" ca="1" si="22"/>
        <v>12</v>
      </c>
    </row>
    <row r="144" spans="1:8">
      <c r="A144" s="8">
        <v>139</v>
      </c>
      <c r="B144" s="9">
        <f t="shared" ca="1" si="16"/>
        <v>2.6115557695214786E-2</v>
      </c>
      <c r="C144" s="10" t="str">
        <f t="shared" ca="1" si="17"/>
        <v>Navegación</v>
      </c>
      <c r="D144" s="9">
        <f t="shared" ca="1" si="18"/>
        <v>0.39295549645639238</v>
      </c>
      <c r="E144" s="10">
        <f t="shared" ca="1" si="19"/>
        <v>2</v>
      </c>
      <c r="F144" s="10">
        <f t="shared" ca="1" si="20"/>
        <v>1</v>
      </c>
      <c r="G144" s="9">
        <f t="shared" ca="1" si="21"/>
        <v>0.91340989130110939</v>
      </c>
      <c r="H144" s="10">
        <f t="shared" ca="1" si="22"/>
        <v>17</v>
      </c>
    </row>
    <row r="145" spans="1:8">
      <c r="A145" s="8">
        <v>140</v>
      </c>
      <c r="B145" s="14">
        <f t="shared" ca="1" si="16"/>
        <v>9.7718196776515609E-2</v>
      </c>
      <c r="C145" s="8" t="str">
        <f t="shared" ca="1" si="17"/>
        <v>Navegación</v>
      </c>
      <c r="D145" s="14">
        <f t="shared" ca="1" si="18"/>
        <v>0.66292493241073369</v>
      </c>
      <c r="E145" s="8">
        <f t="shared" ca="1" si="19"/>
        <v>4</v>
      </c>
      <c r="F145" s="8">
        <f t="shared" ca="1" si="20"/>
        <v>5</v>
      </c>
      <c r="G145" s="14">
        <f t="shared" ca="1" si="21"/>
        <v>0.40128264589495655</v>
      </c>
      <c r="H145" s="8">
        <f t="shared" ca="1" si="22"/>
        <v>11</v>
      </c>
    </row>
    <row r="146" spans="1:8">
      <c r="A146" s="8">
        <v>141</v>
      </c>
      <c r="B146" s="9">
        <f t="shared" ca="1" si="16"/>
        <v>0.26266736343664909</v>
      </c>
      <c r="C146" s="10" t="str">
        <f t="shared" ca="1" si="17"/>
        <v>Navegación</v>
      </c>
      <c r="D146" s="9">
        <f t="shared" ca="1" si="18"/>
        <v>0.70190332536634081</v>
      </c>
      <c r="E146" s="10">
        <f t="shared" ca="1" si="19"/>
        <v>4</v>
      </c>
      <c r="F146" s="10">
        <f t="shared" ca="1" si="20"/>
        <v>2</v>
      </c>
      <c r="G146" s="9">
        <f t="shared" ca="1" si="21"/>
        <v>0.81262436446650355</v>
      </c>
      <c r="H146" s="10">
        <f t="shared" ca="1" si="22"/>
        <v>15</v>
      </c>
    </row>
    <row r="147" spans="1:8">
      <c r="A147" s="8">
        <v>142</v>
      </c>
      <c r="B147" s="14">
        <f t="shared" ca="1" si="16"/>
        <v>0.50140635858564497</v>
      </c>
      <c r="C147" s="8" t="str">
        <f t="shared" ca="1" si="17"/>
        <v>Navegación</v>
      </c>
      <c r="D147" s="14">
        <f t="shared" ca="1" si="18"/>
        <v>0.68648008380248482</v>
      </c>
      <c r="E147" s="8">
        <f t="shared" ca="1" si="19"/>
        <v>4</v>
      </c>
      <c r="F147" s="8">
        <f t="shared" ca="1" si="20"/>
        <v>5</v>
      </c>
      <c r="G147" s="14">
        <f t="shared" ca="1" si="21"/>
        <v>0.87206300648951474</v>
      </c>
      <c r="H147" s="8">
        <f t="shared" ca="1" si="22"/>
        <v>16</v>
      </c>
    </row>
    <row r="148" spans="1:8">
      <c r="A148" s="8">
        <v>143</v>
      </c>
      <c r="B148" s="9">
        <f t="shared" ca="1" si="16"/>
        <v>0.41753021110255839</v>
      </c>
      <c r="C148" s="10" t="str">
        <f t="shared" ca="1" si="17"/>
        <v>Navegación</v>
      </c>
      <c r="D148" s="9">
        <f t="shared" ca="1" si="18"/>
        <v>0.25245144645173023</v>
      </c>
      <c r="E148" s="10">
        <f t="shared" ca="1" si="19"/>
        <v>2</v>
      </c>
      <c r="F148" s="10">
        <f t="shared" ca="1" si="20"/>
        <v>1</v>
      </c>
      <c r="G148" s="9">
        <f t="shared" ca="1" si="21"/>
        <v>6.2122448405277475E-2</v>
      </c>
      <c r="H148" s="10">
        <f t="shared" ca="1" si="22"/>
        <v>7</v>
      </c>
    </row>
    <row r="149" spans="1:8">
      <c r="A149" s="8">
        <v>144</v>
      </c>
      <c r="B149" s="14">
        <f t="shared" ca="1" si="16"/>
        <v>0.83338502349994781</v>
      </c>
      <c r="C149" s="8" t="str">
        <f t="shared" ca="1" si="17"/>
        <v>Carrito</v>
      </c>
      <c r="D149" s="14">
        <f t="shared" ca="1" si="18"/>
        <v>0.6278963467532459</v>
      </c>
      <c r="E149" s="8">
        <f t="shared" ca="1" si="19"/>
        <v>4</v>
      </c>
      <c r="F149" s="8">
        <f t="shared" ca="1" si="20"/>
        <v>1</v>
      </c>
      <c r="G149" s="14">
        <f t="shared" ca="1" si="21"/>
        <v>0.9091201489157883</v>
      </c>
      <c r="H149" s="8">
        <f t="shared" ca="1" si="22"/>
        <v>17</v>
      </c>
    </row>
    <row r="150" spans="1:8">
      <c r="A150" s="8">
        <v>145</v>
      </c>
      <c r="B150" s="9">
        <f t="shared" ca="1" si="16"/>
        <v>0.64665739978070391</v>
      </c>
      <c r="C150" s="10" t="str">
        <f t="shared" ca="1" si="17"/>
        <v>Carrito</v>
      </c>
      <c r="D150" s="9">
        <f t="shared" ca="1" si="18"/>
        <v>9.6051580051614849E-4</v>
      </c>
      <c r="E150" s="10">
        <f t="shared" ca="1" si="19"/>
        <v>1</v>
      </c>
      <c r="F150" s="10">
        <f t="shared" ca="1" si="20"/>
        <v>4</v>
      </c>
      <c r="G150" s="9">
        <f t="shared" ca="1" si="21"/>
        <v>0.33711265186468165</v>
      </c>
      <c r="H150" s="10">
        <f t="shared" ca="1" si="22"/>
        <v>10</v>
      </c>
    </row>
    <row r="151" spans="1:8">
      <c r="A151" s="8">
        <v>146</v>
      </c>
      <c r="B151" s="14">
        <f t="shared" ca="1" si="16"/>
        <v>0.50522381309824926</v>
      </c>
      <c r="C151" s="8" t="str">
        <f t="shared" ca="1" si="17"/>
        <v>Navegación</v>
      </c>
      <c r="D151" s="14">
        <f t="shared" ca="1" si="18"/>
        <v>0.41576629860093528</v>
      </c>
      <c r="E151" s="8">
        <f t="shared" ca="1" si="19"/>
        <v>3</v>
      </c>
      <c r="F151" s="8">
        <f t="shared" ca="1" si="20"/>
        <v>3</v>
      </c>
      <c r="G151" s="14">
        <f t="shared" ca="1" si="21"/>
        <v>0.88204924782509131</v>
      </c>
      <c r="H151" s="8">
        <f t="shared" ca="1" si="22"/>
        <v>16</v>
      </c>
    </row>
    <row r="152" spans="1:8">
      <c r="A152" s="8">
        <v>147</v>
      </c>
      <c r="B152" s="9">
        <f t="shared" ca="1" si="16"/>
        <v>0.96156678745077695</v>
      </c>
      <c r="C152" s="10" t="str">
        <f t="shared" ca="1" si="17"/>
        <v>Checkout</v>
      </c>
      <c r="D152" s="9">
        <f t="shared" ca="1" si="18"/>
        <v>2.1917337347284516E-2</v>
      </c>
      <c r="E152" s="10">
        <f t="shared" ca="1" si="19"/>
        <v>1</v>
      </c>
      <c r="F152" s="10">
        <f t="shared" ca="1" si="20"/>
        <v>3</v>
      </c>
      <c r="G152" s="9">
        <f t="shared" ca="1" si="21"/>
        <v>0.56045862051394524</v>
      </c>
      <c r="H152" s="10">
        <f t="shared" ca="1" si="22"/>
        <v>12</v>
      </c>
    </row>
    <row r="153" spans="1:8">
      <c r="A153" s="8">
        <v>148</v>
      </c>
      <c r="B153" s="14">
        <f t="shared" ca="1" si="16"/>
        <v>8.2377029633707743E-2</v>
      </c>
      <c r="C153" s="8" t="str">
        <f t="shared" ca="1" si="17"/>
        <v>Navegación</v>
      </c>
      <c r="D153" s="14">
        <f t="shared" ca="1" si="18"/>
        <v>4.0835839520050654E-2</v>
      </c>
      <c r="E153" s="8">
        <f t="shared" ca="1" si="19"/>
        <v>1</v>
      </c>
      <c r="F153" s="8">
        <f t="shared" ca="1" si="20"/>
        <v>4</v>
      </c>
      <c r="G153" s="14">
        <f t="shared" ca="1" si="21"/>
        <v>0.18305837671196779</v>
      </c>
      <c r="H153" s="8">
        <f t="shared" ca="1" si="22"/>
        <v>9</v>
      </c>
    </row>
    <row r="154" spans="1:8">
      <c r="A154" s="8">
        <v>149</v>
      </c>
      <c r="B154" s="9">
        <f t="shared" ca="1" si="16"/>
        <v>4.3505667905762602E-2</v>
      </c>
      <c r="C154" s="10" t="str">
        <f t="shared" ca="1" si="17"/>
        <v>Navegación</v>
      </c>
      <c r="D154" s="9">
        <f t="shared" ca="1" si="18"/>
        <v>0.7423091101808218</v>
      </c>
      <c r="E154" s="10">
        <f t="shared" ca="1" si="19"/>
        <v>4</v>
      </c>
      <c r="F154" s="10">
        <f t="shared" ca="1" si="20"/>
        <v>3</v>
      </c>
      <c r="G154" s="9">
        <f t="shared" ca="1" si="21"/>
        <v>0.62663460860333453</v>
      </c>
      <c r="H154" s="10">
        <f t="shared" ca="1" si="22"/>
        <v>13</v>
      </c>
    </row>
    <row r="155" spans="1:8">
      <c r="A155" s="8">
        <v>150</v>
      </c>
      <c r="B155" s="14">
        <f t="shared" ca="1" si="16"/>
        <v>9.0910013246678023E-2</v>
      </c>
      <c r="C155" s="8" t="str">
        <f t="shared" ca="1" si="17"/>
        <v>Navegación</v>
      </c>
      <c r="D155" s="14">
        <f t="shared" ca="1" si="18"/>
        <v>0.52856566715265174</v>
      </c>
      <c r="E155" s="8">
        <f t="shared" ca="1" si="19"/>
        <v>3</v>
      </c>
      <c r="F155" s="8">
        <f t="shared" ca="1" si="20"/>
        <v>2</v>
      </c>
      <c r="G155" s="14">
        <f t="shared" ca="1" si="21"/>
        <v>0.87633891481094872</v>
      </c>
      <c r="H155" s="8">
        <f t="shared" ca="1" si="22"/>
        <v>16</v>
      </c>
    </row>
    <row r="156" spans="1:8">
      <c r="A156" s="8">
        <v>151</v>
      </c>
      <c r="B156" s="9">
        <f t="shared" ca="1" si="16"/>
        <v>0.95141974519267525</v>
      </c>
      <c r="C156" s="10" t="str">
        <f t="shared" ca="1" si="17"/>
        <v>Checkout</v>
      </c>
      <c r="D156" s="9">
        <f t="shared" ca="1" si="18"/>
        <v>2.6665902644238182E-2</v>
      </c>
      <c r="E156" s="10">
        <f t="shared" ca="1" si="19"/>
        <v>1</v>
      </c>
      <c r="F156" s="10">
        <f t="shared" ca="1" si="20"/>
        <v>3</v>
      </c>
      <c r="G156" s="9">
        <f t="shared" ca="1" si="21"/>
        <v>0.39940829152280255</v>
      </c>
      <c r="H156" s="10">
        <f t="shared" ca="1" si="22"/>
        <v>11</v>
      </c>
    </row>
    <row r="157" spans="1:8">
      <c r="A157" s="8">
        <v>152</v>
      </c>
      <c r="B157" s="14">
        <f t="shared" ca="1" si="16"/>
        <v>0.19164355041296199</v>
      </c>
      <c r="C157" s="8" t="str">
        <f t="shared" ca="1" si="17"/>
        <v>Navegación</v>
      </c>
      <c r="D157" s="14">
        <f t="shared" ca="1" si="18"/>
        <v>0.23645134436879145</v>
      </c>
      <c r="E157" s="8">
        <f t="shared" ca="1" si="19"/>
        <v>2</v>
      </c>
      <c r="F157" s="8">
        <f t="shared" ca="1" si="20"/>
        <v>2</v>
      </c>
      <c r="G157" s="14">
        <f t="shared" ca="1" si="21"/>
        <v>0.31284307387988741</v>
      </c>
      <c r="H157" s="8">
        <f t="shared" ca="1" si="22"/>
        <v>10</v>
      </c>
    </row>
    <row r="158" spans="1:8">
      <c r="A158" s="8">
        <v>153</v>
      </c>
      <c r="B158" s="9">
        <f t="shared" ca="1" si="16"/>
        <v>0.97684505722555215</v>
      </c>
      <c r="C158" s="10" t="str">
        <f t="shared" ca="1" si="17"/>
        <v>Checkout</v>
      </c>
      <c r="D158" s="9">
        <f t="shared" ca="1" si="18"/>
        <v>0.33650063102477956</v>
      </c>
      <c r="E158" s="10">
        <f t="shared" ca="1" si="19"/>
        <v>2</v>
      </c>
      <c r="F158" s="10">
        <f t="shared" ca="1" si="20"/>
        <v>1</v>
      </c>
      <c r="G158" s="9">
        <f t="shared" ca="1" si="21"/>
        <v>0.98898729587482392</v>
      </c>
      <c r="H158" s="10">
        <f t="shared" ca="1" si="22"/>
        <v>21</v>
      </c>
    </row>
    <row r="159" spans="1:8">
      <c r="A159" s="8">
        <v>154</v>
      </c>
      <c r="B159" s="14">
        <f t="shared" ca="1" si="16"/>
        <v>0.30018755019477994</v>
      </c>
      <c r="C159" s="8" t="str">
        <f t="shared" ca="1" si="17"/>
        <v>Navegación</v>
      </c>
      <c r="D159" s="14">
        <f t="shared" ca="1" si="18"/>
        <v>0.48030745753775439</v>
      </c>
      <c r="E159" s="8">
        <f t="shared" ca="1" si="19"/>
        <v>3</v>
      </c>
      <c r="F159" s="8">
        <f t="shared" ca="1" si="20"/>
        <v>1</v>
      </c>
      <c r="G159" s="14">
        <f t="shared" ca="1" si="21"/>
        <v>0.32625962018203936</v>
      </c>
      <c r="H159" s="8">
        <f t="shared" ca="1" si="22"/>
        <v>10</v>
      </c>
    </row>
    <row r="160" spans="1:8">
      <c r="A160" s="8">
        <v>155</v>
      </c>
      <c r="B160" s="9">
        <f t="shared" ca="1" si="16"/>
        <v>0.74220798875053795</v>
      </c>
      <c r="C160" s="10" t="str">
        <f t="shared" ca="1" si="17"/>
        <v>Carrito</v>
      </c>
      <c r="D160" s="9">
        <f t="shared" ca="1" si="18"/>
        <v>0.19067546715602979</v>
      </c>
      <c r="E160" s="10">
        <f t="shared" ca="1" si="19"/>
        <v>1</v>
      </c>
      <c r="F160" s="10">
        <f t="shared" ca="1" si="20"/>
        <v>4</v>
      </c>
      <c r="G160" s="9">
        <f t="shared" ca="1" si="21"/>
        <v>0.67738702895735237</v>
      </c>
      <c r="H160" s="10">
        <f t="shared" ca="1" si="22"/>
        <v>13</v>
      </c>
    </row>
    <row r="161" spans="1:8">
      <c r="A161" s="8">
        <v>156</v>
      </c>
      <c r="B161" s="14">
        <f t="shared" ca="1" si="16"/>
        <v>0.56052224412839879</v>
      </c>
      <c r="C161" s="8" t="str">
        <f t="shared" ca="1" si="17"/>
        <v>Carrito</v>
      </c>
      <c r="D161" s="14">
        <f t="shared" ca="1" si="18"/>
        <v>0.32616580699825659</v>
      </c>
      <c r="E161" s="8">
        <f t="shared" ca="1" si="19"/>
        <v>2</v>
      </c>
      <c r="F161" s="8">
        <f t="shared" ca="1" si="20"/>
        <v>1</v>
      </c>
      <c r="G161" s="14">
        <f t="shared" ca="1" si="21"/>
        <v>0.95705603161938158</v>
      </c>
      <c r="H161" s="8">
        <f t="shared" ca="1" si="22"/>
        <v>18</v>
      </c>
    </row>
    <row r="162" spans="1:8">
      <c r="A162" s="8">
        <v>157</v>
      </c>
      <c r="B162" s="9">
        <f t="shared" ca="1" si="16"/>
        <v>0.57254946052020594</v>
      </c>
      <c r="C162" s="10" t="str">
        <f t="shared" ca="1" si="17"/>
        <v>Carrito</v>
      </c>
      <c r="D162" s="9">
        <f t="shared" ca="1" si="18"/>
        <v>0.62254799047336129</v>
      </c>
      <c r="E162" s="10">
        <f t="shared" ca="1" si="19"/>
        <v>4</v>
      </c>
      <c r="F162" s="10">
        <f t="shared" ca="1" si="20"/>
        <v>4</v>
      </c>
      <c r="G162" s="9">
        <f t="shared" ca="1" si="21"/>
        <v>0.31175786900537128</v>
      </c>
      <c r="H162" s="10">
        <f t="shared" ca="1" si="22"/>
        <v>10</v>
      </c>
    </row>
    <row r="163" spans="1:8">
      <c r="A163" s="8">
        <v>158</v>
      </c>
      <c r="B163" s="14">
        <f t="shared" ca="1" si="16"/>
        <v>0.30444892333320983</v>
      </c>
      <c r="C163" s="8" t="str">
        <f t="shared" ca="1" si="17"/>
        <v>Navegación</v>
      </c>
      <c r="D163" s="14">
        <f t="shared" ca="1" si="18"/>
        <v>0.65845465517849711</v>
      </c>
      <c r="E163" s="8">
        <f t="shared" ca="1" si="19"/>
        <v>4</v>
      </c>
      <c r="F163" s="8">
        <f t="shared" ca="1" si="20"/>
        <v>4</v>
      </c>
      <c r="G163" s="14">
        <f t="shared" ca="1" si="21"/>
        <v>0.8884713506128511</v>
      </c>
      <c r="H163" s="8">
        <f t="shared" ca="1" si="22"/>
        <v>16</v>
      </c>
    </row>
    <row r="164" spans="1:8">
      <c r="A164" s="8">
        <v>159</v>
      </c>
      <c r="B164" s="9">
        <f t="shared" ca="1" si="16"/>
        <v>0.63246795616666329</v>
      </c>
      <c r="C164" s="10" t="str">
        <f t="shared" ca="1" si="17"/>
        <v>Carrito</v>
      </c>
      <c r="D164" s="9">
        <f t="shared" ca="1" si="18"/>
        <v>9.3147022430577153E-2</v>
      </c>
      <c r="E164" s="10">
        <f t="shared" ca="1" si="19"/>
        <v>1</v>
      </c>
      <c r="F164" s="10">
        <f t="shared" ca="1" si="20"/>
        <v>3</v>
      </c>
      <c r="G164" s="9">
        <f t="shared" ca="1" si="21"/>
        <v>0.45106212699818704</v>
      </c>
      <c r="H164" s="10">
        <f t="shared" ca="1" si="22"/>
        <v>11</v>
      </c>
    </row>
    <row r="165" spans="1:8">
      <c r="A165" s="8">
        <v>160</v>
      </c>
      <c r="B165" s="14">
        <f t="shared" ca="1" si="16"/>
        <v>0.37119602684284547</v>
      </c>
      <c r="C165" s="8" t="str">
        <f t="shared" ca="1" si="17"/>
        <v>Navegación</v>
      </c>
      <c r="D165" s="14">
        <f t="shared" ca="1" si="18"/>
        <v>0.43724196105783975</v>
      </c>
      <c r="E165" s="8">
        <f t="shared" ca="1" si="19"/>
        <v>3</v>
      </c>
      <c r="F165" s="8">
        <f t="shared" ca="1" si="20"/>
        <v>4</v>
      </c>
      <c r="G165" s="14">
        <f t="shared" ca="1" si="21"/>
        <v>0.40597925147951164</v>
      </c>
      <c r="H165" s="8">
        <f t="shared" ca="1" si="22"/>
        <v>11</v>
      </c>
    </row>
    <row r="166" spans="1:8">
      <c r="A166" s="8">
        <v>161</v>
      </c>
      <c r="B166" s="9">
        <f t="shared" ca="1" si="16"/>
        <v>0.36679588142827491</v>
      </c>
      <c r="C166" s="10" t="str">
        <f t="shared" ca="1" si="17"/>
        <v>Navegación</v>
      </c>
      <c r="D166" s="9">
        <f t="shared" ca="1" si="18"/>
        <v>8.8155595506293483E-2</v>
      </c>
      <c r="E166" s="10">
        <f t="shared" ca="1" si="19"/>
        <v>1</v>
      </c>
      <c r="F166" s="10">
        <f t="shared" ca="1" si="20"/>
        <v>2</v>
      </c>
      <c r="G166" s="9">
        <f t="shared" ca="1" si="21"/>
        <v>0.61066553534480206</v>
      </c>
      <c r="H166" s="10">
        <f t="shared" ca="1" si="22"/>
        <v>13</v>
      </c>
    </row>
    <row r="167" spans="1:8">
      <c r="A167" s="8">
        <v>162</v>
      </c>
      <c r="B167" s="14">
        <f t="shared" ca="1" si="16"/>
        <v>0.80363695010165326</v>
      </c>
      <c r="C167" s="8" t="str">
        <f t="shared" ca="1" si="17"/>
        <v>Carrito</v>
      </c>
      <c r="D167" s="14">
        <f t="shared" ca="1" si="18"/>
        <v>0.83403529986668778</v>
      </c>
      <c r="E167" s="8">
        <f t="shared" ca="1" si="19"/>
        <v>5</v>
      </c>
      <c r="F167" s="8">
        <f t="shared" ca="1" si="20"/>
        <v>2</v>
      </c>
      <c r="G167" s="14">
        <f t="shared" ca="1" si="21"/>
        <v>0.37775250367206903</v>
      </c>
      <c r="H167" s="8">
        <f t="shared" ca="1" si="22"/>
        <v>11</v>
      </c>
    </row>
    <row r="168" spans="1:8">
      <c r="A168" s="8">
        <v>163</v>
      </c>
      <c r="B168" s="9">
        <f t="shared" ca="1" si="16"/>
        <v>0.94738228774079647</v>
      </c>
      <c r="C168" s="10" t="str">
        <f t="shared" ca="1" si="17"/>
        <v>Checkout</v>
      </c>
      <c r="D168" s="9">
        <f t="shared" ca="1" si="18"/>
        <v>0.86123672091308079</v>
      </c>
      <c r="E168" s="10">
        <f t="shared" ca="1" si="19"/>
        <v>5</v>
      </c>
      <c r="F168" s="10">
        <f t="shared" ca="1" si="20"/>
        <v>4</v>
      </c>
      <c r="G168" s="9">
        <f t="shared" ca="1" si="21"/>
        <v>0.45055619522477097</v>
      </c>
      <c r="H168" s="10">
        <f t="shared" ca="1" si="22"/>
        <v>11</v>
      </c>
    </row>
    <row r="169" spans="1:8">
      <c r="A169" s="8">
        <v>164</v>
      </c>
      <c r="B169" s="14">
        <f t="shared" ca="1" si="16"/>
        <v>0.21338007449567153</v>
      </c>
      <c r="C169" s="8" t="str">
        <f t="shared" ca="1" si="17"/>
        <v>Navegación</v>
      </c>
      <c r="D169" s="14">
        <f t="shared" ca="1" si="18"/>
        <v>0.44202153447764869</v>
      </c>
      <c r="E169" s="8">
        <f t="shared" ca="1" si="19"/>
        <v>3</v>
      </c>
      <c r="F169" s="8">
        <f t="shared" ca="1" si="20"/>
        <v>1</v>
      </c>
      <c r="G169" s="14">
        <f t="shared" ca="1" si="21"/>
        <v>0.6670669230770635</v>
      </c>
      <c r="H169" s="8">
        <f t="shared" ca="1" si="22"/>
        <v>13</v>
      </c>
    </row>
    <row r="170" spans="1:8">
      <c r="A170" s="8">
        <v>165</v>
      </c>
      <c r="B170" s="9">
        <f t="shared" ca="1" si="16"/>
        <v>0.84137951413618162</v>
      </c>
      <c r="C170" s="10" t="str">
        <f t="shared" ca="1" si="17"/>
        <v>Carrito</v>
      </c>
      <c r="D170" s="9">
        <f t="shared" ca="1" si="18"/>
        <v>0.48275123088766581</v>
      </c>
      <c r="E170" s="10">
        <f t="shared" ca="1" si="19"/>
        <v>3</v>
      </c>
      <c r="F170" s="10">
        <f t="shared" ca="1" si="20"/>
        <v>3</v>
      </c>
      <c r="G170" s="9">
        <f t="shared" ca="1" si="21"/>
        <v>0.3177267476607627</v>
      </c>
      <c r="H170" s="10">
        <f t="shared" ca="1" si="22"/>
        <v>10</v>
      </c>
    </row>
    <row r="171" spans="1:8">
      <c r="A171" s="8">
        <v>166</v>
      </c>
      <c r="B171" s="14">
        <f t="shared" ca="1" si="16"/>
        <v>0.33482652466070661</v>
      </c>
      <c r="C171" s="8" t="str">
        <f t="shared" ca="1" si="17"/>
        <v>Navegación</v>
      </c>
      <c r="D171" s="14">
        <f t="shared" ca="1" si="18"/>
        <v>0.63295465979965426</v>
      </c>
      <c r="E171" s="8">
        <f t="shared" ca="1" si="19"/>
        <v>4</v>
      </c>
      <c r="F171" s="8">
        <f t="shared" ca="1" si="20"/>
        <v>1</v>
      </c>
      <c r="G171" s="14">
        <f t="shared" ca="1" si="21"/>
        <v>0.83485351891968829</v>
      </c>
      <c r="H171" s="8">
        <f t="shared" ca="1" si="22"/>
        <v>15</v>
      </c>
    </row>
    <row r="172" spans="1:8">
      <c r="A172" s="8">
        <v>167</v>
      </c>
      <c r="B172" s="9">
        <f t="shared" ca="1" si="16"/>
        <v>9.3091052949140107E-2</v>
      </c>
      <c r="C172" s="10" t="str">
        <f t="shared" ca="1" si="17"/>
        <v>Navegación</v>
      </c>
      <c r="D172" s="9">
        <f t="shared" ca="1" si="18"/>
        <v>0.7153449480303482</v>
      </c>
      <c r="E172" s="10">
        <f t="shared" ca="1" si="19"/>
        <v>4</v>
      </c>
      <c r="F172" s="10">
        <f t="shared" ca="1" si="20"/>
        <v>4</v>
      </c>
      <c r="G172" s="9">
        <f t="shared" ca="1" si="21"/>
        <v>0.36895991123322913</v>
      </c>
      <c r="H172" s="10">
        <f t="shared" ca="1" si="22"/>
        <v>11</v>
      </c>
    </row>
    <row r="173" spans="1:8">
      <c r="A173" s="8">
        <v>168</v>
      </c>
      <c r="B173" s="14">
        <f t="shared" ca="1" si="16"/>
        <v>0.28583152497402076</v>
      </c>
      <c r="C173" s="8" t="str">
        <f t="shared" ca="1" si="17"/>
        <v>Navegación</v>
      </c>
      <c r="D173" s="14">
        <f t="shared" ca="1" si="18"/>
        <v>0.36643826174816518</v>
      </c>
      <c r="E173" s="8">
        <f t="shared" ca="1" si="19"/>
        <v>2</v>
      </c>
      <c r="F173" s="8">
        <f t="shared" ca="1" si="20"/>
        <v>5</v>
      </c>
      <c r="G173" s="14">
        <f t="shared" ca="1" si="21"/>
        <v>0.41368146288454655</v>
      </c>
      <c r="H173" s="8">
        <f t="shared" ca="1" si="22"/>
        <v>11</v>
      </c>
    </row>
    <row r="174" spans="1:8">
      <c r="A174" s="8">
        <v>169</v>
      </c>
      <c r="B174" s="9">
        <f t="shared" ca="1" si="16"/>
        <v>0.96963651519711747</v>
      </c>
      <c r="C174" s="10" t="str">
        <f t="shared" ca="1" si="17"/>
        <v>Checkout</v>
      </c>
      <c r="D174" s="9">
        <f t="shared" ca="1" si="18"/>
        <v>0.69482298992579272</v>
      </c>
      <c r="E174" s="10">
        <f t="shared" ca="1" si="19"/>
        <v>4</v>
      </c>
      <c r="F174" s="10">
        <f t="shared" ca="1" si="20"/>
        <v>5</v>
      </c>
      <c r="G174" s="9">
        <f t="shared" ca="1" si="21"/>
        <v>0.89913584200393837</v>
      </c>
      <c r="H174" s="10">
        <f t="shared" ca="1" si="22"/>
        <v>17</v>
      </c>
    </row>
    <row r="175" spans="1:8">
      <c r="A175" s="8">
        <v>170</v>
      </c>
      <c r="B175" s="14">
        <f t="shared" ca="1" si="16"/>
        <v>0.53367143406000894</v>
      </c>
      <c r="C175" s="8" t="str">
        <f t="shared" ca="1" si="17"/>
        <v>Navegación</v>
      </c>
      <c r="D175" s="14">
        <f t="shared" ca="1" si="18"/>
        <v>8.8669659467344064E-2</v>
      </c>
      <c r="E175" s="8">
        <f t="shared" ca="1" si="19"/>
        <v>1</v>
      </c>
      <c r="F175" s="8">
        <f t="shared" ca="1" si="20"/>
        <v>2</v>
      </c>
      <c r="G175" s="14">
        <f t="shared" ca="1" si="21"/>
        <v>8.7496501479217392E-2</v>
      </c>
      <c r="H175" s="8">
        <f t="shared" ca="1" si="22"/>
        <v>7</v>
      </c>
    </row>
    <row r="176" spans="1:8">
      <c r="A176" s="8">
        <v>171</v>
      </c>
      <c r="B176" s="9">
        <f t="shared" ca="1" si="16"/>
        <v>0.26670563782611723</v>
      </c>
      <c r="C176" s="10" t="str">
        <f t="shared" ca="1" si="17"/>
        <v>Navegación</v>
      </c>
      <c r="D176" s="9">
        <f t="shared" ca="1" si="18"/>
        <v>0.9158691284383591</v>
      </c>
      <c r="E176" s="10">
        <f t="shared" ca="1" si="19"/>
        <v>5</v>
      </c>
      <c r="F176" s="10">
        <f t="shared" ca="1" si="20"/>
        <v>4</v>
      </c>
      <c r="G176" s="9">
        <f t="shared" ca="1" si="21"/>
        <v>0.49322943053105195</v>
      </c>
      <c r="H176" s="10">
        <f t="shared" ca="1" si="22"/>
        <v>12</v>
      </c>
    </row>
    <row r="177" spans="1:8">
      <c r="A177" s="8">
        <v>172</v>
      </c>
      <c r="B177" s="14">
        <f t="shared" ca="1" si="16"/>
        <v>0.40713223917554764</v>
      </c>
      <c r="C177" s="8" t="str">
        <f t="shared" ca="1" si="17"/>
        <v>Navegación</v>
      </c>
      <c r="D177" s="14">
        <f t="shared" ca="1" si="18"/>
        <v>0.77575515319153943</v>
      </c>
      <c r="E177" s="8">
        <f t="shared" ca="1" si="19"/>
        <v>4</v>
      </c>
      <c r="F177" s="8">
        <f t="shared" ca="1" si="20"/>
        <v>4</v>
      </c>
      <c r="G177" s="14">
        <f t="shared" ca="1" si="21"/>
        <v>0.91268954550184167</v>
      </c>
      <c r="H177" s="8">
        <f t="shared" ca="1" si="22"/>
        <v>17</v>
      </c>
    </row>
    <row r="178" spans="1:8">
      <c r="A178" s="8">
        <v>173</v>
      </c>
      <c r="B178" s="9">
        <f t="shared" ca="1" si="16"/>
        <v>0.694409014602546</v>
      </c>
      <c r="C178" s="10" t="str">
        <f t="shared" ca="1" si="17"/>
        <v>Carrito</v>
      </c>
      <c r="D178" s="9">
        <f t="shared" ca="1" si="18"/>
        <v>0.70942680320828655</v>
      </c>
      <c r="E178" s="10">
        <f t="shared" ca="1" si="19"/>
        <v>4</v>
      </c>
      <c r="F178" s="10">
        <f t="shared" ca="1" si="20"/>
        <v>5</v>
      </c>
      <c r="G178" s="9">
        <f t="shared" ca="1" si="21"/>
        <v>0.24320912482721024</v>
      </c>
      <c r="H178" s="10">
        <f t="shared" ca="1" si="22"/>
        <v>10</v>
      </c>
    </row>
    <row r="179" spans="1:8">
      <c r="A179" s="8">
        <v>174</v>
      </c>
      <c r="B179" s="14">
        <f t="shared" ca="1" si="16"/>
        <v>0.48000538462941966</v>
      </c>
      <c r="C179" s="8" t="str">
        <f t="shared" ca="1" si="17"/>
        <v>Navegación</v>
      </c>
      <c r="D179" s="14">
        <f t="shared" ca="1" si="18"/>
        <v>0.63211777860726936</v>
      </c>
      <c r="E179" s="8">
        <f t="shared" ca="1" si="19"/>
        <v>4</v>
      </c>
      <c r="F179" s="8">
        <f t="shared" ca="1" si="20"/>
        <v>1</v>
      </c>
      <c r="G179" s="14">
        <f t="shared" ca="1" si="21"/>
        <v>0.56808392918991102</v>
      </c>
      <c r="H179" s="8">
        <f t="shared" ca="1" si="22"/>
        <v>12</v>
      </c>
    </row>
    <row r="180" spans="1:8">
      <c r="A180" s="8">
        <v>175</v>
      </c>
      <c r="B180" s="9">
        <f t="shared" ca="1" si="16"/>
        <v>0.44646964271232081</v>
      </c>
      <c r="C180" s="10" t="str">
        <f t="shared" ca="1" si="17"/>
        <v>Navegación</v>
      </c>
      <c r="D180" s="9">
        <f t="shared" ca="1" si="18"/>
        <v>0.55473277204162563</v>
      </c>
      <c r="E180" s="10">
        <f t="shared" ca="1" si="19"/>
        <v>3</v>
      </c>
      <c r="F180" s="10">
        <f t="shared" ca="1" si="20"/>
        <v>1</v>
      </c>
      <c r="G180" s="9">
        <f t="shared" ca="1" si="21"/>
        <v>0.10559681543340038</v>
      </c>
      <c r="H180" s="10">
        <f t="shared" ca="1" si="22"/>
        <v>8</v>
      </c>
    </row>
    <row r="181" spans="1:8">
      <c r="A181" s="8">
        <v>176</v>
      </c>
      <c r="B181" s="14">
        <f t="shared" ca="1" si="16"/>
        <v>0.22394794764033032</v>
      </c>
      <c r="C181" s="8" t="str">
        <f t="shared" ca="1" si="17"/>
        <v>Navegación</v>
      </c>
      <c r="D181" s="14">
        <f t="shared" ca="1" si="18"/>
        <v>0.9897311314584013</v>
      </c>
      <c r="E181" s="8">
        <f t="shared" ca="1" si="19"/>
        <v>5</v>
      </c>
      <c r="F181" s="8">
        <f t="shared" ca="1" si="20"/>
        <v>3</v>
      </c>
      <c r="G181" s="14">
        <f t="shared" ca="1" si="21"/>
        <v>0.5037472076275511</v>
      </c>
      <c r="H181" s="8">
        <f t="shared" ca="1" si="22"/>
        <v>12</v>
      </c>
    </row>
    <row r="182" spans="1:8">
      <c r="A182" s="8">
        <v>177</v>
      </c>
      <c r="B182" s="9">
        <f t="shared" ca="1" si="16"/>
        <v>0.9451155825825085</v>
      </c>
      <c r="C182" s="10" t="str">
        <f t="shared" ca="1" si="17"/>
        <v>Checkout</v>
      </c>
      <c r="D182" s="9">
        <f t="shared" ca="1" si="18"/>
        <v>0.26256015770854924</v>
      </c>
      <c r="E182" s="10">
        <f t="shared" ca="1" si="19"/>
        <v>2</v>
      </c>
      <c r="F182" s="10">
        <f t="shared" ca="1" si="20"/>
        <v>1</v>
      </c>
      <c r="G182" s="9">
        <f t="shared" ca="1" si="21"/>
        <v>0.43668062197356716</v>
      </c>
      <c r="H182" s="10">
        <f t="shared" ca="1" si="22"/>
        <v>11</v>
      </c>
    </row>
    <row r="183" spans="1:8">
      <c r="A183" s="8">
        <v>178</v>
      </c>
      <c r="B183" s="14">
        <f t="shared" ca="1" si="16"/>
        <v>9.527897275234698E-2</v>
      </c>
      <c r="C183" s="8" t="str">
        <f t="shared" ca="1" si="17"/>
        <v>Navegación</v>
      </c>
      <c r="D183" s="14">
        <f t="shared" ca="1" si="18"/>
        <v>0.36127164649521271</v>
      </c>
      <c r="E183" s="8">
        <f t="shared" ca="1" si="19"/>
        <v>2</v>
      </c>
      <c r="F183" s="8">
        <f t="shared" ca="1" si="20"/>
        <v>3</v>
      </c>
      <c r="G183" s="14">
        <f t="shared" ca="1" si="21"/>
        <v>7.6874895113949737E-2</v>
      </c>
      <c r="H183" s="8">
        <f t="shared" ca="1" si="22"/>
        <v>7</v>
      </c>
    </row>
    <row r="184" spans="1:8">
      <c r="A184" s="8">
        <v>179</v>
      </c>
      <c r="B184" s="9">
        <f t="shared" ca="1" si="16"/>
        <v>0.60925390129503665</v>
      </c>
      <c r="C184" s="10" t="str">
        <f t="shared" ca="1" si="17"/>
        <v>Carrito</v>
      </c>
      <c r="D184" s="9">
        <f t="shared" ca="1" si="18"/>
        <v>0.65257305316161029</v>
      </c>
      <c r="E184" s="10">
        <f t="shared" ca="1" si="19"/>
        <v>4</v>
      </c>
      <c r="F184" s="10">
        <f t="shared" ca="1" si="20"/>
        <v>2</v>
      </c>
      <c r="G184" s="9">
        <f t="shared" ca="1" si="21"/>
        <v>0.62143849669706031</v>
      </c>
      <c r="H184" s="10">
        <f t="shared" ca="1" si="22"/>
        <v>13</v>
      </c>
    </row>
    <row r="185" spans="1:8">
      <c r="A185" s="8">
        <v>180</v>
      </c>
      <c r="B185" s="14">
        <f t="shared" ca="1" si="16"/>
        <v>0.21310133119368868</v>
      </c>
      <c r="C185" s="8" t="str">
        <f t="shared" ca="1" si="17"/>
        <v>Navegación</v>
      </c>
      <c r="D185" s="14">
        <f t="shared" ca="1" si="18"/>
        <v>0.58067657392796324</v>
      </c>
      <c r="E185" s="8">
        <f t="shared" ca="1" si="19"/>
        <v>3</v>
      </c>
      <c r="F185" s="8">
        <f t="shared" ca="1" si="20"/>
        <v>4</v>
      </c>
      <c r="G185" s="14">
        <f t="shared" ca="1" si="21"/>
        <v>0.81054517116537061</v>
      </c>
      <c r="H185" s="8">
        <f t="shared" ca="1" si="22"/>
        <v>15</v>
      </c>
    </row>
    <row r="186" spans="1:8">
      <c r="A186" s="8">
        <v>181</v>
      </c>
      <c r="B186" s="9">
        <f t="shared" ca="1" si="16"/>
        <v>0.87781488520031226</v>
      </c>
      <c r="C186" s="10" t="str">
        <f t="shared" ca="1" si="17"/>
        <v>Checkout</v>
      </c>
      <c r="D186" s="9">
        <f t="shared" ca="1" si="18"/>
        <v>0.39875321430230171</v>
      </c>
      <c r="E186" s="10">
        <f t="shared" ca="1" si="19"/>
        <v>2</v>
      </c>
      <c r="F186" s="10">
        <f t="shared" ca="1" si="20"/>
        <v>4</v>
      </c>
      <c r="G186" s="9">
        <f t="shared" ca="1" si="21"/>
        <v>0.4324003858226827</v>
      </c>
      <c r="H186" s="10">
        <f t="shared" ca="1" si="22"/>
        <v>11</v>
      </c>
    </row>
    <row r="187" spans="1:8">
      <c r="A187" s="8">
        <v>182</v>
      </c>
      <c r="B187" s="14">
        <f t="shared" ca="1" si="16"/>
        <v>0.10241334503980304</v>
      </c>
      <c r="C187" s="8" t="str">
        <f t="shared" ca="1" si="17"/>
        <v>Navegación</v>
      </c>
      <c r="D187" s="14">
        <f t="shared" ca="1" si="18"/>
        <v>0.44664585959168845</v>
      </c>
      <c r="E187" s="8">
        <f t="shared" ca="1" si="19"/>
        <v>3</v>
      </c>
      <c r="F187" s="8">
        <f t="shared" ca="1" si="20"/>
        <v>4</v>
      </c>
      <c r="G187" s="14">
        <f t="shared" ca="1" si="21"/>
        <v>0.83957470340378393</v>
      </c>
      <c r="H187" s="8">
        <f t="shared" ca="1" si="22"/>
        <v>15</v>
      </c>
    </row>
    <row r="188" spans="1:8">
      <c r="A188" s="8">
        <v>183</v>
      </c>
      <c r="B188" s="9">
        <f t="shared" ca="1" si="16"/>
        <v>0.88029457319414262</v>
      </c>
      <c r="C188" s="10" t="str">
        <f t="shared" ca="1" si="17"/>
        <v>Checkout</v>
      </c>
      <c r="D188" s="9">
        <f t="shared" ca="1" si="18"/>
        <v>0.92107086991282983</v>
      </c>
      <c r="E188" s="10">
        <f t="shared" ca="1" si="19"/>
        <v>5</v>
      </c>
      <c r="F188" s="10">
        <f t="shared" ca="1" si="20"/>
        <v>3</v>
      </c>
      <c r="G188" s="9">
        <f t="shared" ca="1" si="21"/>
        <v>2.3057495011664209E-2</v>
      </c>
      <c r="H188" s="10">
        <f t="shared" ca="1" si="22"/>
        <v>6</v>
      </c>
    </row>
    <row r="189" spans="1:8">
      <c r="A189" s="8">
        <v>184</v>
      </c>
      <c r="B189" s="14">
        <f t="shared" ca="1" si="16"/>
        <v>0.21636315072733869</v>
      </c>
      <c r="C189" s="8" t="str">
        <f t="shared" ca="1" si="17"/>
        <v>Navegación</v>
      </c>
      <c r="D189" s="14">
        <f t="shared" ca="1" si="18"/>
        <v>0.55607607060492148</v>
      </c>
      <c r="E189" s="8">
        <f t="shared" ca="1" si="19"/>
        <v>3</v>
      </c>
      <c r="F189" s="8">
        <f t="shared" ca="1" si="20"/>
        <v>3</v>
      </c>
      <c r="G189" s="14">
        <f t="shared" ca="1" si="21"/>
        <v>0.27674970254772813</v>
      </c>
      <c r="H189" s="8">
        <f t="shared" ca="1" si="22"/>
        <v>10</v>
      </c>
    </row>
    <row r="190" spans="1:8">
      <c r="A190" s="8">
        <v>185</v>
      </c>
      <c r="B190" s="9">
        <f t="shared" ca="1" si="16"/>
        <v>0.86446556835822896</v>
      </c>
      <c r="C190" s="10" t="str">
        <f t="shared" ca="1" si="17"/>
        <v>Checkout</v>
      </c>
      <c r="D190" s="9">
        <f t="shared" ca="1" si="18"/>
        <v>0.72032198051239604</v>
      </c>
      <c r="E190" s="10">
        <f t="shared" ca="1" si="19"/>
        <v>4</v>
      </c>
      <c r="F190" s="10">
        <f t="shared" ca="1" si="20"/>
        <v>2</v>
      </c>
      <c r="G190" s="9">
        <f t="shared" ca="1" si="21"/>
        <v>0.5092730285535535</v>
      </c>
      <c r="H190" s="10">
        <f t="shared" ca="1" si="22"/>
        <v>12</v>
      </c>
    </row>
    <row r="191" spans="1:8">
      <c r="A191" s="8">
        <v>186</v>
      </c>
      <c r="B191" s="14">
        <f t="shared" ca="1" si="16"/>
        <v>0.43299235597519581</v>
      </c>
      <c r="C191" s="8" t="str">
        <f t="shared" ca="1" si="17"/>
        <v>Navegación</v>
      </c>
      <c r="D191" s="14">
        <f t="shared" ca="1" si="18"/>
        <v>0.39293777219811743</v>
      </c>
      <c r="E191" s="8">
        <f t="shared" ca="1" si="19"/>
        <v>2</v>
      </c>
      <c r="F191" s="8">
        <f t="shared" ca="1" si="20"/>
        <v>4</v>
      </c>
      <c r="G191" s="14">
        <f t="shared" ca="1" si="21"/>
        <v>0.23194762913246281</v>
      </c>
      <c r="H191" s="8">
        <f t="shared" ca="1" si="22"/>
        <v>9</v>
      </c>
    </row>
    <row r="192" spans="1:8">
      <c r="A192" s="8">
        <v>187</v>
      </c>
      <c r="B192" s="9">
        <f t="shared" ca="1" si="16"/>
        <v>0.430529689421144</v>
      </c>
      <c r="C192" s="10" t="str">
        <f t="shared" ca="1" si="17"/>
        <v>Navegación</v>
      </c>
      <c r="D192" s="9">
        <f t="shared" ca="1" si="18"/>
        <v>0.21887082763128318</v>
      </c>
      <c r="E192" s="10">
        <f t="shared" ca="1" si="19"/>
        <v>2</v>
      </c>
      <c r="F192" s="10">
        <f t="shared" ca="1" si="20"/>
        <v>1</v>
      </c>
      <c r="G192" s="9">
        <f t="shared" ca="1" si="21"/>
        <v>0.88037102717148241</v>
      </c>
      <c r="H192" s="10">
        <f t="shared" ca="1" si="22"/>
        <v>16</v>
      </c>
    </row>
    <row r="193" spans="1:8">
      <c r="A193" s="8">
        <v>188</v>
      </c>
      <c r="B193" s="14">
        <f t="shared" ca="1" si="16"/>
        <v>0.5134108993755454</v>
      </c>
      <c r="C193" s="8" t="str">
        <f t="shared" ca="1" si="17"/>
        <v>Navegación</v>
      </c>
      <c r="D193" s="14">
        <f t="shared" ca="1" si="18"/>
        <v>0.99590373919244146</v>
      </c>
      <c r="E193" s="8">
        <f t="shared" ca="1" si="19"/>
        <v>5</v>
      </c>
      <c r="F193" s="8">
        <f t="shared" ca="1" si="20"/>
        <v>2</v>
      </c>
      <c r="G193" s="14">
        <f t="shared" ca="1" si="21"/>
        <v>0.17148384990818133</v>
      </c>
      <c r="H193" s="8">
        <f t="shared" ca="1" si="22"/>
        <v>9</v>
      </c>
    </row>
    <row r="194" spans="1:8">
      <c r="A194" s="8">
        <v>189</v>
      </c>
      <c r="B194" s="9">
        <f t="shared" ca="1" si="16"/>
        <v>0.43498673685271416</v>
      </c>
      <c r="C194" s="10" t="str">
        <f t="shared" ca="1" si="17"/>
        <v>Navegación</v>
      </c>
      <c r="D194" s="9">
        <f t="shared" ca="1" si="18"/>
        <v>0.36207555946263226</v>
      </c>
      <c r="E194" s="10">
        <f t="shared" ca="1" si="19"/>
        <v>2</v>
      </c>
      <c r="F194" s="10">
        <f t="shared" ca="1" si="20"/>
        <v>3</v>
      </c>
      <c r="G194" s="9">
        <f t="shared" ca="1" si="21"/>
        <v>0.5568419934032558</v>
      </c>
      <c r="H194" s="10">
        <f t="shared" ca="1" si="22"/>
        <v>12</v>
      </c>
    </row>
    <row r="195" spans="1:8">
      <c r="A195" s="8">
        <v>190</v>
      </c>
      <c r="B195" s="14">
        <f t="shared" ca="1" si="16"/>
        <v>0.8923603482885758</v>
      </c>
      <c r="C195" s="8" t="str">
        <f t="shared" ca="1" si="17"/>
        <v>Checkout</v>
      </c>
      <c r="D195" s="14">
        <f t="shared" ca="1" si="18"/>
        <v>0.10486699061246652</v>
      </c>
      <c r="E195" s="8">
        <f t="shared" ca="1" si="19"/>
        <v>1</v>
      </c>
      <c r="F195" s="8">
        <f t="shared" ca="1" si="20"/>
        <v>1</v>
      </c>
      <c r="G195" s="14">
        <f t="shared" ca="1" si="21"/>
        <v>0.78207397680263868</v>
      </c>
      <c r="H195" s="8">
        <f t="shared" ca="1" si="22"/>
        <v>15</v>
      </c>
    </row>
    <row r="196" spans="1:8">
      <c r="A196" s="8">
        <v>191</v>
      </c>
      <c r="B196" s="9">
        <f t="shared" ca="1" si="16"/>
        <v>0.56641705388058727</v>
      </c>
      <c r="C196" s="10" t="str">
        <f t="shared" ca="1" si="17"/>
        <v>Carrito</v>
      </c>
      <c r="D196" s="9">
        <f t="shared" ca="1" si="18"/>
        <v>0.54914385046751824</v>
      </c>
      <c r="E196" s="10">
        <f t="shared" ca="1" si="19"/>
        <v>3</v>
      </c>
      <c r="F196" s="10">
        <f t="shared" ca="1" si="20"/>
        <v>5</v>
      </c>
      <c r="G196" s="9">
        <f t="shared" ca="1" si="21"/>
        <v>0.42254719755501968</v>
      </c>
      <c r="H196" s="10">
        <f t="shared" ca="1" si="22"/>
        <v>11</v>
      </c>
    </row>
    <row r="197" spans="1:8">
      <c r="A197" s="8">
        <v>192</v>
      </c>
      <c r="B197" s="14">
        <f t="shared" ca="1" si="16"/>
        <v>0.93174815729657334</v>
      </c>
      <c r="C197" s="8" t="str">
        <f t="shared" ca="1" si="17"/>
        <v>Checkout</v>
      </c>
      <c r="D197" s="14">
        <f t="shared" ca="1" si="18"/>
        <v>0.31920516091675855</v>
      </c>
      <c r="E197" s="8">
        <f t="shared" ca="1" si="19"/>
        <v>2</v>
      </c>
      <c r="F197" s="8">
        <f t="shared" ca="1" si="20"/>
        <v>1</v>
      </c>
      <c r="G197" s="14">
        <f t="shared" ca="1" si="21"/>
        <v>0.93693289412556013</v>
      </c>
      <c r="H197" s="8">
        <f t="shared" ca="1" si="22"/>
        <v>17</v>
      </c>
    </row>
    <row r="198" spans="1:8">
      <c r="A198" s="8">
        <v>193</v>
      </c>
      <c r="B198" s="9">
        <f t="shared" ref="B198:B261" ca="1" si="23">RAND()</f>
        <v>0.88598681888143604</v>
      </c>
      <c r="C198" s="10" t="str">
        <f t="shared" ref="C198:C261" ca="1" si="24">VLOOKUP(B198, $J$6:$K$8, 2, TRUE)</f>
        <v>Checkout</v>
      </c>
      <c r="D198" s="9">
        <f t="shared" ref="D198:D261" ca="1" si="25">RAND()</f>
        <v>0.22576192626885305</v>
      </c>
      <c r="E198" s="10">
        <f t="shared" ref="E198:E261" ca="1" si="26">INT(D198*($O$7-$O$6+1))+$O$6</f>
        <v>2</v>
      </c>
      <c r="F198" s="10">
        <f t="shared" ref="F198:F261" ca="1" si="27">RANDBETWEEN($O$6, $O$7)</f>
        <v>3</v>
      </c>
      <c r="G198" s="9">
        <f t="shared" ref="G198:G261" ca="1" si="28">RAND()</f>
        <v>0.92190714604685631</v>
      </c>
      <c r="H198" s="10">
        <f t="shared" ref="H198:H261" ca="1" si="29">VLOOKUP(G198, $W$5:$X$39, 2, TRUE)</f>
        <v>17</v>
      </c>
    </row>
    <row r="199" spans="1:8">
      <c r="A199" s="8">
        <v>194</v>
      </c>
      <c r="B199" s="14">
        <f t="shared" ca="1" si="23"/>
        <v>2.5972415889922162E-2</v>
      </c>
      <c r="C199" s="8" t="str">
        <f t="shared" ca="1" si="24"/>
        <v>Navegación</v>
      </c>
      <c r="D199" s="14">
        <f t="shared" ca="1" si="25"/>
        <v>0.72649370592821649</v>
      </c>
      <c r="E199" s="8">
        <f t="shared" ca="1" si="26"/>
        <v>4</v>
      </c>
      <c r="F199" s="8">
        <f t="shared" ca="1" si="27"/>
        <v>5</v>
      </c>
      <c r="G199" s="14">
        <f t="shared" ca="1" si="28"/>
        <v>0.77886598338973101</v>
      </c>
      <c r="H199" s="8">
        <f t="shared" ca="1" si="29"/>
        <v>15</v>
      </c>
    </row>
    <row r="200" spans="1:8">
      <c r="A200" s="8">
        <v>195</v>
      </c>
      <c r="B200" s="9">
        <f t="shared" ca="1" si="23"/>
        <v>0.22788729623798565</v>
      </c>
      <c r="C200" s="10" t="str">
        <f t="shared" ca="1" si="24"/>
        <v>Navegación</v>
      </c>
      <c r="D200" s="9">
        <f t="shared" ca="1" si="25"/>
        <v>0.45479877064571395</v>
      </c>
      <c r="E200" s="10">
        <f t="shared" ca="1" si="26"/>
        <v>3</v>
      </c>
      <c r="F200" s="10">
        <f t="shared" ca="1" si="27"/>
        <v>4</v>
      </c>
      <c r="G200" s="9">
        <f t="shared" ca="1" si="28"/>
        <v>0.52935758150711709</v>
      </c>
      <c r="H200" s="10">
        <f t="shared" ca="1" si="29"/>
        <v>12</v>
      </c>
    </row>
    <row r="201" spans="1:8">
      <c r="A201" s="8">
        <v>196</v>
      </c>
      <c r="B201" s="14">
        <f t="shared" ca="1" si="23"/>
        <v>0.52120142203079012</v>
      </c>
      <c r="C201" s="8" t="str">
        <f t="shared" ca="1" si="24"/>
        <v>Navegación</v>
      </c>
      <c r="D201" s="14">
        <f t="shared" ca="1" si="25"/>
        <v>0.4425107305495577</v>
      </c>
      <c r="E201" s="8">
        <f t="shared" ca="1" si="26"/>
        <v>3</v>
      </c>
      <c r="F201" s="8">
        <f t="shared" ca="1" si="27"/>
        <v>2</v>
      </c>
      <c r="G201" s="14">
        <f t="shared" ca="1" si="28"/>
        <v>0.1403773970181903</v>
      </c>
      <c r="H201" s="8">
        <f t="shared" ca="1" si="29"/>
        <v>8</v>
      </c>
    </row>
    <row r="202" spans="1:8">
      <c r="A202" s="8">
        <v>197</v>
      </c>
      <c r="B202" s="9">
        <f t="shared" ca="1" si="23"/>
        <v>0.63592776716239685</v>
      </c>
      <c r="C202" s="10" t="str">
        <f t="shared" ca="1" si="24"/>
        <v>Carrito</v>
      </c>
      <c r="D202" s="9">
        <f t="shared" ca="1" si="25"/>
        <v>0.18830554607593575</v>
      </c>
      <c r="E202" s="10">
        <f t="shared" ca="1" si="26"/>
        <v>1</v>
      </c>
      <c r="F202" s="10">
        <f t="shared" ca="1" si="27"/>
        <v>1</v>
      </c>
      <c r="G202" s="9">
        <f t="shared" ca="1" si="28"/>
        <v>0.22194358706644524</v>
      </c>
      <c r="H202" s="10">
        <f t="shared" ca="1" si="29"/>
        <v>9</v>
      </c>
    </row>
    <row r="203" spans="1:8">
      <c r="A203" s="8">
        <v>198</v>
      </c>
      <c r="B203" s="14">
        <f t="shared" ca="1" si="23"/>
        <v>0.72440466089317801</v>
      </c>
      <c r="C203" s="8" t="str">
        <f t="shared" ca="1" si="24"/>
        <v>Carrito</v>
      </c>
      <c r="D203" s="14">
        <f t="shared" ca="1" si="25"/>
        <v>0.57214970129256726</v>
      </c>
      <c r="E203" s="8">
        <f t="shared" ca="1" si="26"/>
        <v>3</v>
      </c>
      <c r="F203" s="8">
        <f t="shared" ca="1" si="27"/>
        <v>5</v>
      </c>
      <c r="G203" s="14">
        <f t="shared" ca="1" si="28"/>
        <v>0.64150397054500141</v>
      </c>
      <c r="H203" s="8">
        <f t="shared" ca="1" si="29"/>
        <v>13</v>
      </c>
    </row>
    <row r="204" spans="1:8">
      <c r="A204" s="8">
        <v>199</v>
      </c>
      <c r="B204" s="9">
        <f t="shared" ca="1" si="23"/>
        <v>0.19036503114568215</v>
      </c>
      <c r="C204" s="10" t="str">
        <f t="shared" ca="1" si="24"/>
        <v>Navegación</v>
      </c>
      <c r="D204" s="9">
        <f t="shared" ca="1" si="25"/>
        <v>0.68172986449029416</v>
      </c>
      <c r="E204" s="10">
        <f t="shared" ca="1" si="26"/>
        <v>4</v>
      </c>
      <c r="F204" s="10">
        <f t="shared" ca="1" si="27"/>
        <v>5</v>
      </c>
      <c r="G204" s="9">
        <f t="shared" ca="1" si="28"/>
        <v>0.63042964572973259</v>
      </c>
      <c r="H204" s="10">
        <f t="shared" ca="1" si="29"/>
        <v>13</v>
      </c>
    </row>
    <row r="205" spans="1:8">
      <c r="A205" s="8">
        <v>200</v>
      </c>
      <c r="B205" s="14">
        <f t="shared" ca="1" si="23"/>
        <v>0.91318456345335164</v>
      </c>
      <c r="C205" s="8" t="str">
        <f t="shared" ca="1" si="24"/>
        <v>Checkout</v>
      </c>
      <c r="D205" s="14">
        <f t="shared" ca="1" si="25"/>
        <v>0.82519602665673619</v>
      </c>
      <c r="E205" s="8">
        <f t="shared" ca="1" si="26"/>
        <v>5</v>
      </c>
      <c r="F205" s="8">
        <f t="shared" ca="1" si="27"/>
        <v>2</v>
      </c>
      <c r="G205" s="14">
        <f t="shared" ca="1" si="28"/>
        <v>0.14377347132194651</v>
      </c>
      <c r="H205" s="8">
        <f t="shared" ca="1" si="29"/>
        <v>8</v>
      </c>
    </row>
    <row r="206" spans="1:8">
      <c r="A206" s="8">
        <v>201</v>
      </c>
      <c r="B206" s="9">
        <f t="shared" ca="1" si="23"/>
        <v>4.4268016854562942E-2</v>
      </c>
      <c r="C206" s="10" t="str">
        <f t="shared" ca="1" si="24"/>
        <v>Navegación</v>
      </c>
      <c r="D206" s="9">
        <f t="shared" ca="1" si="25"/>
        <v>0.66897053962153996</v>
      </c>
      <c r="E206" s="10">
        <f t="shared" ca="1" si="26"/>
        <v>4</v>
      </c>
      <c r="F206" s="10">
        <f t="shared" ca="1" si="27"/>
        <v>2</v>
      </c>
      <c r="G206" s="9">
        <f t="shared" ca="1" si="28"/>
        <v>0.99319546251931656</v>
      </c>
      <c r="H206" s="10">
        <f t="shared" ca="1" si="29"/>
        <v>21</v>
      </c>
    </row>
    <row r="207" spans="1:8">
      <c r="A207" s="8">
        <v>202</v>
      </c>
      <c r="B207" s="14">
        <f t="shared" ca="1" si="23"/>
        <v>0.1172968245366135</v>
      </c>
      <c r="C207" s="8" t="str">
        <f t="shared" ca="1" si="24"/>
        <v>Navegación</v>
      </c>
      <c r="D207" s="14">
        <f t="shared" ca="1" si="25"/>
        <v>0.99518375589219654</v>
      </c>
      <c r="E207" s="8">
        <f t="shared" ca="1" si="26"/>
        <v>5</v>
      </c>
      <c r="F207" s="8">
        <f t="shared" ca="1" si="27"/>
        <v>4</v>
      </c>
      <c r="G207" s="14">
        <f t="shared" ca="1" si="28"/>
        <v>0.82085884483604565</v>
      </c>
      <c r="H207" s="8">
        <f t="shared" ca="1" si="29"/>
        <v>15</v>
      </c>
    </row>
    <row r="208" spans="1:8">
      <c r="A208" s="8">
        <v>203</v>
      </c>
      <c r="B208" s="9">
        <f t="shared" ca="1" si="23"/>
        <v>0.29386880556348538</v>
      </c>
      <c r="C208" s="10" t="str">
        <f t="shared" ca="1" si="24"/>
        <v>Navegación</v>
      </c>
      <c r="D208" s="9">
        <f t="shared" ca="1" si="25"/>
        <v>0.26215428374262539</v>
      </c>
      <c r="E208" s="10">
        <f t="shared" ca="1" si="26"/>
        <v>2</v>
      </c>
      <c r="F208" s="10">
        <f t="shared" ca="1" si="27"/>
        <v>5</v>
      </c>
      <c r="G208" s="9">
        <f t="shared" ca="1" si="28"/>
        <v>0.47029490408785046</v>
      </c>
      <c r="H208" s="10">
        <f t="shared" ca="1" si="29"/>
        <v>12</v>
      </c>
    </row>
    <row r="209" spans="1:8">
      <c r="A209" s="8">
        <v>204</v>
      </c>
      <c r="B209" s="14">
        <f t="shared" ca="1" si="23"/>
        <v>0.77694799344028131</v>
      </c>
      <c r="C209" s="8" t="str">
        <f t="shared" ca="1" si="24"/>
        <v>Carrito</v>
      </c>
      <c r="D209" s="14">
        <f t="shared" ca="1" si="25"/>
        <v>0.640066624873736</v>
      </c>
      <c r="E209" s="8">
        <f t="shared" ca="1" si="26"/>
        <v>4</v>
      </c>
      <c r="F209" s="8">
        <f t="shared" ca="1" si="27"/>
        <v>4</v>
      </c>
      <c r="G209" s="14">
        <f t="shared" ca="1" si="28"/>
        <v>0.61643767149711082</v>
      </c>
      <c r="H209" s="8">
        <f t="shared" ca="1" si="29"/>
        <v>13</v>
      </c>
    </row>
    <row r="210" spans="1:8">
      <c r="A210" s="8">
        <v>205</v>
      </c>
      <c r="B210" s="9">
        <f t="shared" ca="1" si="23"/>
        <v>0.50055092380555566</v>
      </c>
      <c r="C210" s="10" t="str">
        <f t="shared" ca="1" si="24"/>
        <v>Navegación</v>
      </c>
      <c r="D210" s="9">
        <f t="shared" ca="1" si="25"/>
        <v>0.51755960802901169</v>
      </c>
      <c r="E210" s="10">
        <f t="shared" ca="1" si="26"/>
        <v>3</v>
      </c>
      <c r="F210" s="10">
        <f t="shared" ca="1" si="27"/>
        <v>5</v>
      </c>
      <c r="G210" s="9">
        <f t="shared" ca="1" si="28"/>
        <v>0.77926811686786535</v>
      </c>
      <c r="H210" s="10">
        <f t="shared" ca="1" si="29"/>
        <v>15</v>
      </c>
    </row>
    <row r="211" spans="1:8">
      <c r="A211" s="8">
        <v>206</v>
      </c>
      <c r="B211" s="14">
        <f t="shared" ca="1" si="23"/>
        <v>0.12479881204682497</v>
      </c>
      <c r="C211" s="8" t="str">
        <f t="shared" ca="1" si="24"/>
        <v>Navegación</v>
      </c>
      <c r="D211" s="14">
        <f t="shared" ca="1" si="25"/>
        <v>0.15102667640135581</v>
      </c>
      <c r="E211" s="8">
        <f t="shared" ca="1" si="26"/>
        <v>1</v>
      </c>
      <c r="F211" s="8">
        <f t="shared" ca="1" si="27"/>
        <v>1</v>
      </c>
      <c r="G211" s="14">
        <f t="shared" ca="1" si="28"/>
        <v>4.572813584592228E-2</v>
      </c>
      <c r="H211" s="8">
        <f t="shared" ca="1" si="29"/>
        <v>6</v>
      </c>
    </row>
    <row r="212" spans="1:8">
      <c r="A212" s="8">
        <v>207</v>
      </c>
      <c r="B212" s="9">
        <f t="shared" ca="1" si="23"/>
        <v>0.939418637654998</v>
      </c>
      <c r="C212" s="10" t="str">
        <f t="shared" ca="1" si="24"/>
        <v>Checkout</v>
      </c>
      <c r="D212" s="9">
        <f t="shared" ca="1" si="25"/>
        <v>0.9949727992697579</v>
      </c>
      <c r="E212" s="10">
        <f t="shared" ca="1" si="26"/>
        <v>5</v>
      </c>
      <c r="F212" s="10">
        <f t="shared" ca="1" si="27"/>
        <v>2</v>
      </c>
      <c r="G212" s="9">
        <f t="shared" ca="1" si="28"/>
        <v>0.28931053318241184</v>
      </c>
      <c r="H212" s="10">
        <f t="shared" ca="1" si="29"/>
        <v>10</v>
      </c>
    </row>
    <row r="213" spans="1:8">
      <c r="A213" s="8">
        <v>208</v>
      </c>
      <c r="B213" s="14">
        <f t="shared" ca="1" si="23"/>
        <v>2.0007929124222223E-2</v>
      </c>
      <c r="C213" s="8" t="str">
        <f t="shared" ca="1" si="24"/>
        <v>Navegación</v>
      </c>
      <c r="D213" s="14">
        <f t="shared" ca="1" si="25"/>
        <v>0.75286813129111152</v>
      </c>
      <c r="E213" s="8">
        <f t="shared" ca="1" si="26"/>
        <v>4</v>
      </c>
      <c r="F213" s="8">
        <f t="shared" ca="1" si="27"/>
        <v>2</v>
      </c>
      <c r="G213" s="14">
        <f t="shared" ca="1" si="28"/>
        <v>0.22323366248955478</v>
      </c>
      <c r="H213" s="8">
        <f t="shared" ca="1" si="29"/>
        <v>9</v>
      </c>
    </row>
    <row r="214" spans="1:8">
      <c r="A214" s="8">
        <v>209</v>
      </c>
      <c r="B214" s="9">
        <f t="shared" ca="1" si="23"/>
        <v>0.76660690477169646</v>
      </c>
      <c r="C214" s="10" t="str">
        <f t="shared" ca="1" si="24"/>
        <v>Carrito</v>
      </c>
      <c r="D214" s="9">
        <f t="shared" ca="1" si="25"/>
        <v>0.90085763459508839</v>
      </c>
      <c r="E214" s="10">
        <f t="shared" ca="1" si="26"/>
        <v>5</v>
      </c>
      <c r="F214" s="10">
        <f t="shared" ca="1" si="27"/>
        <v>2</v>
      </c>
      <c r="G214" s="9">
        <f t="shared" ca="1" si="28"/>
        <v>0.93557662317883961</v>
      </c>
      <c r="H214" s="10">
        <f t="shared" ca="1" si="29"/>
        <v>17</v>
      </c>
    </row>
    <row r="215" spans="1:8">
      <c r="A215" s="8">
        <v>210</v>
      </c>
      <c r="B215" s="14">
        <f t="shared" ca="1" si="23"/>
        <v>9.4276563456818008E-2</v>
      </c>
      <c r="C215" s="8" t="str">
        <f t="shared" ca="1" si="24"/>
        <v>Navegación</v>
      </c>
      <c r="D215" s="14">
        <f t="shared" ca="1" si="25"/>
        <v>0.35790745692506043</v>
      </c>
      <c r="E215" s="8">
        <f t="shared" ca="1" si="26"/>
        <v>2</v>
      </c>
      <c r="F215" s="8">
        <f t="shared" ca="1" si="27"/>
        <v>3</v>
      </c>
      <c r="G215" s="14">
        <f t="shared" ca="1" si="28"/>
        <v>0.36915552024982523</v>
      </c>
      <c r="H215" s="8">
        <f t="shared" ca="1" si="29"/>
        <v>11</v>
      </c>
    </row>
    <row r="216" spans="1:8">
      <c r="A216" s="8">
        <v>211</v>
      </c>
      <c r="B216" s="9">
        <f t="shared" ca="1" si="23"/>
        <v>0.43754123868308559</v>
      </c>
      <c r="C216" s="10" t="str">
        <f t="shared" ca="1" si="24"/>
        <v>Navegación</v>
      </c>
      <c r="D216" s="9">
        <f t="shared" ca="1" si="25"/>
        <v>0.26693699221268541</v>
      </c>
      <c r="E216" s="10">
        <f t="shared" ca="1" si="26"/>
        <v>2</v>
      </c>
      <c r="F216" s="10">
        <f t="shared" ca="1" si="27"/>
        <v>3</v>
      </c>
      <c r="G216" s="9">
        <f t="shared" ca="1" si="28"/>
        <v>4.4107794336169626E-2</v>
      </c>
      <c r="H216" s="10">
        <f t="shared" ca="1" si="29"/>
        <v>6</v>
      </c>
    </row>
    <row r="217" spans="1:8">
      <c r="A217" s="8">
        <v>212</v>
      </c>
      <c r="B217" s="14">
        <f t="shared" ca="1" si="23"/>
        <v>0.7427270835674229</v>
      </c>
      <c r="C217" s="8" t="str">
        <f t="shared" ca="1" si="24"/>
        <v>Carrito</v>
      </c>
      <c r="D217" s="14">
        <f t="shared" ca="1" si="25"/>
        <v>0.99617422461501337</v>
      </c>
      <c r="E217" s="8">
        <f t="shared" ca="1" si="26"/>
        <v>5</v>
      </c>
      <c r="F217" s="8">
        <f t="shared" ca="1" si="27"/>
        <v>4</v>
      </c>
      <c r="G217" s="14">
        <f t="shared" ca="1" si="28"/>
        <v>0.48182630606361354</v>
      </c>
      <c r="H217" s="8">
        <f t="shared" ca="1" si="29"/>
        <v>12</v>
      </c>
    </row>
    <row r="218" spans="1:8">
      <c r="A218" s="8">
        <v>213</v>
      </c>
      <c r="B218" s="9">
        <f t="shared" ca="1" si="23"/>
        <v>0.22652670765247962</v>
      </c>
      <c r="C218" s="10" t="str">
        <f t="shared" ca="1" si="24"/>
        <v>Navegación</v>
      </c>
      <c r="D218" s="9">
        <f t="shared" ca="1" si="25"/>
        <v>0.37878550989824644</v>
      </c>
      <c r="E218" s="10">
        <f t="shared" ca="1" si="26"/>
        <v>2</v>
      </c>
      <c r="F218" s="10">
        <f t="shared" ca="1" si="27"/>
        <v>1</v>
      </c>
      <c r="G218" s="9">
        <f t="shared" ca="1" si="28"/>
        <v>0.11607182059495291</v>
      </c>
      <c r="H218" s="10">
        <f t="shared" ca="1" si="29"/>
        <v>8</v>
      </c>
    </row>
    <row r="219" spans="1:8">
      <c r="A219" s="8">
        <v>214</v>
      </c>
      <c r="B219" s="14">
        <f t="shared" ca="1" si="23"/>
        <v>0.75509882390297656</v>
      </c>
      <c r="C219" s="8" t="str">
        <f t="shared" ca="1" si="24"/>
        <v>Carrito</v>
      </c>
      <c r="D219" s="14">
        <f t="shared" ca="1" si="25"/>
        <v>0.81715793870795783</v>
      </c>
      <c r="E219" s="8">
        <f t="shared" ca="1" si="26"/>
        <v>5</v>
      </c>
      <c r="F219" s="8">
        <f t="shared" ca="1" si="27"/>
        <v>5</v>
      </c>
      <c r="G219" s="14">
        <f t="shared" ca="1" si="28"/>
        <v>0.32883355616458965</v>
      </c>
      <c r="H219" s="8">
        <f t="shared" ca="1" si="29"/>
        <v>10</v>
      </c>
    </row>
    <row r="220" spans="1:8">
      <c r="A220" s="8">
        <v>215</v>
      </c>
      <c r="B220" s="9">
        <f t="shared" ca="1" si="23"/>
        <v>0.18670513483122086</v>
      </c>
      <c r="C220" s="10" t="str">
        <f t="shared" ca="1" si="24"/>
        <v>Navegación</v>
      </c>
      <c r="D220" s="9">
        <f t="shared" ca="1" si="25"/>
        <v>0.46470716167389703</v>
      </c>
      <c r="E220" s="10">
        <f t="shared" ca="1" si="26"/>
        <v>3</v>
      </c>
      <c r="F220" s="10">
        <f t="shared" ca="1" si="27"/>
        <v>1</v>
      </c>
      <c r="G220" s="9">
        <f t="shared" ca="1" si="28"/>
        <v>6.0852990536500617E-2</v>
      </c>
      <c r="H220" s="10">
        <f t="shared" ca="1" si="29"/>
        <v>7</v>
      </c>
    </row>
    <row r="221" spans="1:8">
      <c r="A221" s="8">
        <v>216</v>
      </c>
      <c r="B221" s="14">
        <f t="shared" ca="1" si="23"/>
        <v>0.1784999170296</v>
      </c>
      <c r="C221" s="8" t="str">
        <f t="shared" ca="1" si="24"/>
        <v>Navegación</v>
      </c>
      <c r="D221" s="14">
        <f t="shared" ca="1" si="25"/>
        <v>0.24856134599815638</v>
      </c>
      <c r="E221" s="8">
        <f t="shared" ca="1" si="26"/>
        <v>2</v>
      </c>
      <c r="F221" s="8">
        <f t="shared" ca="1" si="27"/>
        <v>2</v>
      </c>
      <c r="G221" s="14">
        <f t="shared" ca="1" si="28"/>
        <v>0.10868276815966493</v>
      </c>
      <c r="H221" s="8">
        <f t="shared" ca="1" si="29"/>
        <v>8</v>
      </c>
    </row>
    <row r="222" spans="1:8">
      <c r="A222" s="8">
        <v>217</v>
      </c>
      <c r="B222" s="9">
        <f t="shared" ca="1" si="23"/>
        <v>0.90647643365048969</v>
      </c>
      <c r="C222" s="10" t="str">
        <f t="shared" ca="1" si="24"/>
        <v>Checkout</v>
      </c>
      <c r="D222" s="9">
        <f t="shared" ca="1" si="25"/>
        <v>7.4546600255105067E-2</v>
      </c>
      <c r="E222" s="10">
        <f t="shared" ca="1" si="26"/>
        <v>1</v>
      </c>
      <c r="F222" s="10">
        <f t="shared" ca="1" si="27"/>
        <v>1</v>
      </c>
      <c r="G222" s="9">
        <f t="shared" ca="1" si="28"/>
        <v>9.2226538576596129E-2</v>
      </c>
      <c r="H222" s="10">
        <f t="shared" ca="1" si="29"/>
        <v>8</v>
      </c>
    </row>
    <row r="223" spans="1:8">
      <c r="A223" s="8">
        <v>218</v>
      </c>
      <c r="B223" s="14">
        <f t="shared" ca="1" si="23"/>
        <v>0.10360360381345546</v>
      </c>
      <c r="C223" s="8" t="str">
        <f t="shared" ca="1" si="24"/>
        <v>Navegación</v>
      </c>
      <c r="D223" s="14">
        <f t="shared" ca="1" si="25"/>
        <v>0.80999852998181232</v>
      </c>
      <c r="E223" s="8">
        <f t="shared" ca="1" si="26"/>
        <v>5</v>
      </c>
      <c r="F223" s="8">
        <f t="shared" ca="1" si="27"/>
        <v>3</v>
      </c>
      <c r="G223" s="14">
        <f t="shared" ca="1" si="28"/>
        <v>0.65380583024674144</v>
      </c>
      <c r="H223" s="8">
        <f t="shared" ca="1" si="29"/>
        <v>13</v>
      </c>
    </row>
    <row r="224" spans="1:8">
      <c r="A224" s="8">
        <v>219</v>
      </c>
      <c r="B224" s="9">
        <f t="shared" ca="1" si="23"/>
        <v>0.63427838256391056</v>
      </c>
      <c r="C224" s="10" t="str">
        <f t="shared" ca="1" si="24"/>
        <v>Carrito</v>
      </c>
      <c r="D224" s="9">
        <f t="shared" ca="1" si="25"/>
        <v>0.2179927453022098</v>
      </c>
      <c r="E224" s="10">
        <f t="shared" ca="1" si="26"/>
        <v>2</v>
      </c>
      <c r="F224" s="10">
        <f t="shared" ca="1" si="27"/>
        <v>3</v>
      </c>
      <c r="G224" s="9">
        <f t="shared" ca="1" si="28"/>
        <v>0.65827232373582467</v>
      </c>
      <c r="H224" s="10">
        <f t="shared" ca="1" si="29"/>
        <v>13</v>
      </c>
    </row>
    <row r="225" spans="1:8">
      <c r="A225" s="8">
        <v>220</v>
      </c>
      <c r="B225" s="14">
        <f t="shared" ca="1" si="23"/>
        <v>0.24946629631966644</v>
      </c>
      <c r="C225" s="8" t="str">
        <f t="shared" ca="1" si="24"/>
        <v>Navegación</v>
      </c>
      <c r="D225" s="14">
        <f t="shared" ca="1" si="25"/>
        <v>0.41641903688265236</v>
      </c>
      <c r="E225" s="8">
        <f t="shared" ca="1" si="26"/>
        <v>3</v>
      </c>
      <c r="F225" s="8">
        <f t="shared" ca="1" si="27"/>
        <v>4</v>
      </c>
      <c r="G225" s="14">
        <f t="shared" ca="1" si="28"/>
        <v>0.78251473434640406</v>
      </c>
      <c r="H225" s="8">
        <f t="shared" ca="1" si="29"/>
        <v>15</v>
      </c>
    </row>
    <row r="226" spans="1:8">
      <c r="A226" s="8">
        <v>221</v>
      </c>
      <c r="B226" s="9">
        <f t="shared" ca="1" si="23"/>
        <v>0.86733447313451972</v>
      </c>
      <c r="C226" s="10" t="str">
        <f t="shared" ca="1" si="24"/>
        <v>Checkout</v>
      </c>
      <c r="D226" s="9">
        <f t="shared" ca="1" si="25"/>
        <v>0.59243036899500934</v>
      </c>
      <c r="E226" s="10">
        <f t="shared" ca="1" si="26"/>
        <v>3</v>
      </c>
      <c r="F226" s="10">
        <f t="shared" ca="1" si="27"/>
        <v>1</v>
      </c>
      <c r="G226" s="9">
        <f t="shared" ca="1" si="28"/>
        <v>0.56500121974421846</v>
      </c>
      <c r="H226" s="10">
        <f t="shared" ca="1" si="29"/>
        <v>12</v>
      </c>
    </row>
    <row r="227" spans="1:8">
      <c r="A227" s="8">
        <v>222</v>
      </c>
      <c r="B227" s="14">
        <f t="shared" ca="1" si="23"/>
        <v>0.85054270022863754</v>
      </c>
      <c r="C227" s="8" t="str">
        <f t="shared" ca="1" si="24"/>
        <v>Checkout</v>
      </c>
      <c r="D227" s="14">
        <f t="shared" ca="1" si="25"/>
        <v>0.74031888532092616</v>
      </c>
      <c r="E227" s="8">
        <f t="shared" ca="1" si="26"/>
        <v>4</v>
      </c>
      <c r="F227" s="8">
        <f t="shared" ca="1" si="27"/>
        <v>4</v>
      </c>
      <c r="G227" s="14">
        <f t="shared" ca="1" si="28"/>
        <v>0.99497837386118226</v>
      </c>
      <c r="H227" s="8">
        <f t="shared" ca="1" si="29"/>
        <v>22</v>
      </c>
    </row>
    <row r="228" spans="1:8">
      <c r="A228" s="8">
        <v>223</v>
      </c>
      <c r="B228" s="9">
        <f t="shared" ca="1" si="23"/>
        <v>0.85839157054942639</v>
      </c>
      <c r="C228" s="10" t="str">
        <f t="shared" ca="1" si="24"/>
        <v>Checkout</v>
      </c>
      <c r="D228" s="9">
        <f t="shared" ca="1" si="25"/>
        <v>0.39260933740518233</v>
      </c>
      <c r="E228" s="10">
        <f t="shared" ca="1" si="26"/>
        <v>2</v>
      </c>
      <c r="F228" s="10">
        <f t="shared" ca="1" si="27"/>
        <v>1</v>
      </c>
      <c r="G228" s="9">
        <f t="shared" ca="1" si="28"/>
        <v>0.76696985456566547</v>
      </c>
      <c r="H228" s="10">
        <f t="shared" ca="1" si="29"/>
        <v>14</v>
      </c>
    </row>
    <row r="229" spans="1:8">
      <c r="A229" s="8">
        <v>224</v>
      </c>
      <c r="B229" s="14">
        <f t="shared" ca="1" si="23"/>
        <v>0.66197188529252116</v>
      </c>
      <c r="C229" s="8" t="str">
        <f t="shared" ca="1" si="24"/>
        <v>Carrito</v>
      </c>
      <c r="D229" s="14">
        <f t="shared" ca="1" si="25"/>
        <v>0.60437285268047147</v>
      </c>
      <c r="E229" s="8">
        <f t="shared" ca="1" si="26"/>
        <v>4</v>
      </c>
      <c r="F229" s="8">
        <f t="shared" ca="1" si="27"/>
        <v>2</v>
      </c>
      <c r="G229" s="14">
        <f t="shared" ca="1" si="28"/>
        <v>0.70953135047959137</v>
      </c>
      <c r="H229" s="8">
        <f t="shared" ca="1" si="29"/>
        <v>14</v>
      </c>
    </row>
    <row r="230" spans="1:8">
      <c r="A230" s="8">
        <v>225</v>
      </c>
      <c r="B230" s="9">
        <f t="shared" ca="1" si="23"/>
        <v>0.82503214522467982</v>
      </c>
      <c r="C230" s="10" t="str">
        <f t="shared" ca="1" si="24"/>
        <v>Carrito</v>
      </c>
      <c r="D230" s="9">
        <f t="shared" ca="1" si="25"/>
        <v>0.69654132781972522</v>
      </c>
      <c r="E230" s="10">
        <f t="shared" ca="1" si="26"/>
        <v>4</v>
      </c>
      <c r="F230" s="10">
        <f t="shared" ca="1" si="27"/>
        <v>2</v>
      </c>
      <c r="G230" s="9">
        <f t="shared" ca="1" si="28"/>
        <v>0.24020209045922281</v>
      </c>
      <c r="H230" s="10">
        <f t="shared" ca="1" si="29"/>
        <v>9</v>
      </c>
    </row>
    <row r="231" spans="1:8">
      <c r="A231" s="8">
        <v>226</v>
      </c>
      <c r="B231" s="14">
        <f t="shared" ca="1" si="23"/>
        <v>1.9617840487540228E-2</v>
      </c>
      <c r="C231" s="8" t="str">
        <f t="shared" ca="1" si="24"/>
        <v>Navegación</v>
      </c>
      <c r="D231" s="14">
        <f t="shared" ca="1" si="25"/>
        <v>0.65050164859711757</v>
      </c>
      <c r="E231" s="8">
        <f t="shared" ca="1" si="26"/>
        <v>4</v>
      </c>
      <c r="F231" s="8">
        <f t="shared" ca="1" si="27"/>
        <v>1</v>
      </c>
      <c r="G231" s="14">
        <f t="shared" ca="1" si="28"/>
        <v>0.60203992705319642</v>
      </c>
      <c r="H231" s="8">
        <f t="shared" ca="1" si="29"/>
        <v>13</v>
      </c>
    </row>
    <row r="232" spans="1:8">
      <c r="A232" s="8">
        <v>227</v>
      </c>
      <c r="B232" s="9">
        <f t="shared" ca="1" si="23"/>
        <v>0.8435244600686671</v>
      </c>
      <c r="C232" s="10" t="str">
        <f t="shared" ca="1" si="24"/>
        <v>Carrito</v>
      </c>
      <c r="D232" s="9">
        <f t="shared" ca="1" si="25"/>
        <v>0.70735990152152073</v>
      </c>
      <c r="E232" s="10">
        <f t="shared" ca="1" si="26"/>
        <v>4</v>
      </c>
      <c r="F232" s="10">
        <f t="shared" ca="1" si="27"/>
        <v>1</v>
      </c>
      <c r="G232" s="9">
        <f t="shared" ca="1" si="28"/>
        <v>0.73154034189377448</v>
      </c>
      <c r="H232" s="10">
        <f t="shared" ca="1" si="29"/>
        <v>14</v>
      </c>
    </row>
    <row r="233" spans="1:8">
      <c r="A233" s="8">
        <v>228</v>
      </c>
      <c r="B233" s="14">
        <f t="shared" ca="1" si="23"/>
        <v>0.67360048393028837</v>
      </c>
      <c r="C233" s="8" t="str">
        <f t="shared" ca="1" si="24"/>
        <v>Carrito</v>
      </c>
      <c r="D233" s="14">
        <f t="shared" ca="1" si="25"/>
        <v>0.63279194991835275</v>
      </c>
      <c r="E233" s="8">
        <f t="shared" ca="1" si="26"/>
        <v>4</v>
      </c>
      <c r="F233" s="8">
        <f t="shared" ca="1" si="27"/>
        <v>4</v>
      </c>
      <c r="G233" s="14">
        <f t="shared" ca="1" si="28"/>
        <v>0.19837905868746064</v>
      </c>
      <c r="H233" s="8">
        <f t="shared" ca="1" si="29"/>
        <v>9</v>
      </c>
    </row>
    <row r="234" spans="1:8">
      <c r="A234" s="8">
        <v>229</v>
      </c>
      <c r="B234" s="9">
        <f t="shared" ca="1" si="23"/>
        <v>0.99677559129440485</v>
      </c>
      <c r="C234" s="10" t="str">
        <f t="shared" ca="1" si="24"/>
        <v>Checkout</v>
      </c>
      <c r="D234" s="9">
        <f t="shared" ca="1" si="25"/>
        <v>0.60502560282038387</v>
      </c>
      <c r="E234" s="10">
        <f t="shared" ca="1" si="26"/>
        <v>4</v>
      </c>
      <c r="F234" s="10">
        <f t="shared" ca="1" si="27"/>
        <v>1</v>
      </c>
      <c r="G234" s="9">
        <f t="shared" ca="1" si="28"/>
        <v>7.1046936101770375E-2</v>
      </c>
      <c r="H234" s="10">
        <f t="shared" ca="1" si="29"/>
        <v>7</v>
      </c>
    </row>
    <row r="235" spans="1:8">
      <c r="A235" s="8">
        <v>230</v>
      </c>
      <c r="B235" s="14">
        <f t="shared" ca="1" si="23"/>
        <v>0.82054086399814785</v>
      </c>
      <c r="C235" s="8" t="str">
        <f t="shared" ca="1" si="24"/>
        <v>Carrito</v>
      </c>
      <c r="D235" s="14">
        <f t="shared" ca="1" si="25"/>
        <v>0.40866022547508229</v>
      </c>
      <c r="E235" s="8">
        <f t="shared" ca="1" si="26"/>
        <v>3</v>
      </c>
      <c r="F235" s="8">
        <f t="shared" ca="1" si="27"/>
        <v>5</v>
      </c>
      <c r="G235" s="14">
        <f t="shared" ca="1" si="28"/>
        <v>0.41815372752698532</v>
      </c>
      <c r="H235" s="8">
        <f t="shared" ca="1" si="29"/>
        <v>11</v>
      </c>
    </row>
    <row r="236" spans="1:8">
      <c r="A236" s="8">
        <v>231</v>
      </c>
      <c r="B236" s="9">
        <f t="shared" ca="1" si="23"/>
        <v>9.5938105660441031E-2</v>
      </c>
      <c r="C236" s="10" t="str">
        <f t="shared" ca="1" si="24"/>
        <v>Navegación</v>
      </c>
      <c r="D236" s="9">
        <f t="shared" ca="1" si="25"/>
        <v>0.70157735292752599</v>
      </c>
      <c r="E236" s="10">
        <f t="shared" ca="1" si="26"/>
        <v>4</v>
      </c>
      <c r="F236" s="10">
        <f t="shared" ca="1" si="27"/>
        <v>3</v>
      </c>
      <c r="G236" s="9">
        <f t="shared" ca="1" si="28"/>
        <v>0.62410654312213265</v>
      </c>
      <c r="H236" s="10">
        <f t="shared" ca="1" si="29"/>
        <v>13</v>
      </c>
    </row>
    <row r="237" spans="1:8">
      <c r="A237" s="8">
        <v>232</v>
      </c>
      <c r="B237" s="14">
        <f t="shared" ca="1" si="23"/>
        <v>4.7294284030226952E-2</v>
      </c>
      <c r="C237" s="8" t="str">
        <f t="shared" ca="1" si="24"/>
        <v>Navegación</v>
      </c>
      <c r="D237" s="14">
        <f t="shared" ca="1" si="25"/>
        <v>0.90145014335937035</v>
      </c>
      <c r="E237" s="8">
        <f t="shared" ca="1" si="26"/>
        <v>5</v>
      </c>
      <c r="F237" s="8">
        <f t="shared" ca="1" si="27"/>
        <v>4</v>
      </c>
      <c r="G237" s="14">
        <f t="shared" ca="1" si="28"/>
        <v>0.22495968889193074</v>
      </c>
      <c r="H237" s="8">
        <f t="shared" ca="1" si="29"/>
        <v>9</v>
      </c>
    </row>
    <row r="238" spans="1:8">
      <c r="A238" s="8">
        <v>233</v>
      </c>
      <c r="B238" s="9">
        <f t="shared" ca="1" si="23"/>
        <v>0.57492003681317461</v>
      </c>
      <c r="C238" s="10" t="str">
        <f t="shared" ca="1" si="24"/>
        <v>Carrito</v>
      </c>
      <c r="D238" s="9">
        <f t="shared" ca="1" si="25"/>
        <v>8.4753109733120446E-2</v>
      </c>
      <c r="E238" s="10">
        <f t="shared" ca="1" si="26"/>
        <v>1</v>
      </c>
      <c r="F238" s="10">
        <f t="shared" ca="1" si="27"/>
        <v>5</v>
      </c>
      <c r="G238" s="9">
        <f t="shared" ca="1" si="28"/>
        <v>0.12501240025935068</v>
      </c>
      <c r="H238" s="10">
        <f t="shared" ca="1" si="29"/>
        <v>8</v>
      </c>
    </row>
    <row r="239" spans="1:8">
      <c r="A239" s="8">
        <v>234</v>
      </c>
      <c r="B239" s="14">
        <f t="shared" ca="1" si="23"/>
        <v>0.37358601425837679</v>
      </c>
      <c r="C239" s="8" t="str">
        <f t="shared" ca="1" si="24"/>
        <v>Navegación</v>
      </c>
      <c r="D239" s="14">
        <f t="shared" ca="1" si="25"/>
        <v>0.72251315328429555</v>
      </c>
      <c r="E239" s="8">
        <f t="shared" ca="1" si="26"/>
        <v>4</v>
      </c>
      <c r="F239" s="8">
        <f t="shared" ca="1" si="27"/>
        <v>1</v>
      </c>
      <c r="G239" s="14">
        <f t="shared" ca="1" si="28"/>
        <v>0.75745772931678579</v>
      </c>
      <c r="H239" s="8">
        <f t="shared" ca="1" si="29"/>
        <v>14</v>
      </c>
    </row>
    <row r="240" spans="1:8">
      <c r="A240" s="8">
        <v>235</v>
      </c>
      <c r="B240" s="9">
        <f t="shared" ca="1" si="23"/>
        <v>0.77339255996677148</v>
      </c>
      <c r="C240" s="10" t="str">
        <f t="shared" ca="1" si="24"/>
        <v>Carrito</v>
      </c>
      <c r="D240" s="9">
        <f t="shared" ca="1" si="25"/>
        <v>0.48510517685064103</v>
      </c>
      <c r="E240" s="10">
        <f t="shared" ca="1" si="26"/>
        <v>3</v>
      </c>
      <c r="F240" s="10">
        <f t="shared" ca="1" si="27"/>
        <v>2</v>
      </c>
      <c r="G240" s="9">
        <f t="shared" ca="1" si="28"/>
        <v>0.3187164585665474</v>
      </c>
      <c r="H240" s="10">
        <f t="shared" ca="1" si="29"/>
        <v>10</v>
      </c>
    </row>
    <row r="241" spans="1:8">
      <c r="A241" s="8">
        <v>236</v>
      </c>
      <c r="B241" s="14">
        <f t="shared" ca="1" si="23"/>
        <v>0.61723208743129987</v>
      </c>
      <c r="C241" s="8" t="str">
        <f t="shared" ca="1" si="24"/>
        <v>Carrito</v>
      </c>
      <c r="D241" s="14">
        <f t="shared" ca="1" si="25"/>
        <v>0.13157034054943462</v>
      </c>
      <c r="E241" s="8">
        <f t="shared" ca="1" si="26"/>
        <v>1</v>
      </c>
      <c r="F241" s="8">
        <f t="shared" ca="1" si="27"/>
        <v>1</v>
      </c>
      <c r="G241" s="14">
        <f t="shared" ca="1" si="28"/>
        <v>0.58427372717395032</v>
      </c>
      <c r="H241" s="8">
        <f t="shared" ca="1" si="29"/>
        <v>13</v>
      </c>
    </row>
    <row r="242" spans="1:8">
      <c r="A242" s="8">
        <v>237</v>
      </c>
      <c r="B242" s="9">
        <f t="shared" ca="1" si="23"/>
        <v>0.24606609303320659</v>
      </c>
      <c r="C242" s="10" t="str">
        <f t="shared" ca="1" si="24"/>
        <v>Navegación</v>
      </c>
      <c r="D242" s="9">
        <f t="shared" ca="1" si="25"/>
        <v>0.78039594152814507</v>
      </c>
      <c r="E242" s="10">
        <f t="shared" ca="1" si="26"/>
        <v>4</v>
      </c>
      <c r="F242" s="10">
        <f t="shared" ca="1" si="27"/>
        <v>5</v>
      </c>
      <c r="G242" s="9">
        <f t="shared" ca="1" si="28"/>
        <v>0.42498145335936843</v>
      </c>
      <c r="H242" s="10">
        <f t="shared" ca="1" si="29"/>
        <v>11</v>
      </c>
    </row>
    <row r="243" spans="1:8">
      <c r="A243" s="8">
        <v>238</v>
      </c>
      <c r="B243" s="14">
        <f t="shared" ca="1" si="23"/>
        <v>9.8144282073782674E-2</v>
      </c>
      <c r="C243" s="8" t="str">
        <f t="shared" ca="1" si="24"/>
        <v>Navegación</v>
      </c>
      <c r="D243" s="14">
        <f t="shared" ca="1" si="25"/>
        <v>0.86865729056299579</v>
      </c>
      <c r="E243" s="8">
        <f t="shared" ca="1" si="26"/>
        <v>5</v>
      </c>
      <c r="F243" s="8">
        <f t="shared" ca="1" si="27"/>
        <v>1</v>
      </c>
      <c r="G243" s="14">
        <f t="shared" ca="1" si="28"/>
        <v>0.11105929037731577</v>
      </c>
      <c r="H243" s="8">
        <f t="shared" ca="1" si="29"/>
        <v>8</v>
      </c>
    </row>
    <row r="244" spans="1:8">
      <c r="A244" s="8">
        <v>239</v>
      </c>
      <c r="B244" s="9">
        <f t="shared" ca="1" si="23"/>
        <v>0.67522539519792468</v>
      </c>
      <c r="C244" s="10" t="str">
        <f t="shared" ca="1" si="24"/>
        <v>Carrito</v>
      </c>
      <c r="D244" s="9">
        <f t="shared" ca="1" si="25"/>
        <v>0.80446154221039168</v>
      </c>
      <c r="E244" s="10">
        <f t="shared" ca="1" si="26"/>
        <v>5</v>
      </c>
      <c r="F244" s="10">
        <f t="shared" ca="1" si="27"/>
        <v>5</v>
      </c>
      <c r="G244" s="9">
        <f t="shared" ca="1" si="28"/>
        <v>0.41985319403058508</v>
      </c>
      <c r="H244" s="10">
        <f t="shared" ca="1" si="29"/>
        <v>11</v>
      </c>
    </row>
    <row r="245" spans="1:8">
      <c r="A245" s="8">
        <v>240</v>
      </c>
      <c r="B245" s="14">
        <f t="shared" ca="1" si="23"/>
        <v>0.93277094259609916</v>
      </c>
      <c r="C245" s="8" t="str">
        <f t="shared" ca="1" si="24"/>
        <v>Checkout</v>
      </c>
      <c r="D245" s="14">
        <f t="shared" ca="1" si="25"/>
        <v>0.38897839738972217</v>
      </c>
      <c r="E245" s="8">
        <f t="shared" ca="1" si="26"/>
        <v>2</v>
      </c>
      <c r="F245" s="8">
        <f t="shared" ca="1" si="27"/>
        <v>4</v>
      </c>
      <c r="G245" s="14">
        <f t="shared" ca="1" si="28"/>
        <v>0.81364003471342716</v>
      </c>
      <c r="H245" s="8">
        <f t="shared" ca="1" si="29"/>
        <v>15</v>
      </c>
    </row>
    <row r="246" spans="1:8">
      <c r="A246" s="8">
        <v>241</v>
      </c>
      <c r="B246" s="9">
        <f t="shared" ca="1" si="23"/>
        <v>0.13457287513923144</v>
      </c>
      <c r="C246" s="10" t="str">
        <f t="shared" ca="1" si="24"/>
        <v>Navegación</v>
      </c>
      <c r="D246" s="9">
        <f t="shared" ca="1" si="25"/>
        <v>2.7686599481111962E-2</v>
      </c>
      <c r="E246" s="10">
        <f t="shared" ca="1" si="26"/>
        <v>1</v>
      </c>
      <c r="F246" s="10">
        <f t="shared" ca="1" si="27"/>
        <v>4</v>
      </c>
      <c r="G246" s="9">
        <f t="shared" ca="1" si="28"/>
        <v>0.21809894879050062</v>
      </c>
      <c r="H246" s="10">
        <f t="shared" ca="1" si="29"/>
        <v>9</v>
      </c>
    </row>
    <row r="247" spans="1:8">
      <c r="A247" s="8">
        <v>242</v>
      </c>
      <c r="B247" s="14">
        <f t="shared" ca="1" si="23"/>
        <v>0.13224970967353833</v>
      </c>
      <c r="C247" s="8" t="str">
        <f t="shared" ca="1" si="24"/>
        <v>Navegación</v>
      </c>
      <c r="D247" s="14">
        <f t="shared" ca="1" si="25"/>
        <v>0.35224025740343823</v>
      </c>
      <c r="E247" s="8">
        <f t="shared" ca="1" si="26"/>
        <v>2</v>
      </c>
      <c r="F247" s="8">
        <f t="shared" ca="1" si="27"/>
        <v>3</v>
      </c>
      <c r="G247" s="14">
        <f t="shared" ca="1" si="28"/>
        <v>0.86609834726125601</v>
      </c>
      <c r="H247" s="8">
        <f t="shared" ca="1" si="29"/>
        <v>16</v>
      </c>
    </row>
    <row r="248" spans="1:8">
      <c r="A248" s="8">
        <v>243</v>
      </c>
      <c r="B248" s="9">
        <f t="shared" ca="1" si="23"/>
        <v>6.6532999696806816E-2</v>
      </c>
      <c r="C248" s="10" t="str">
        <f t="shared" ca="1" si="24"/>
        <v>Navegación</v>
      </c>
      <c r="D248" s="9">
        <f t="shared" ca="1" si="25"/>
        <v>0.50231413362077515</v>
      </c>
      <c r="E248" s="10">
        <f t="shared" ca="1" si="26"/>
        <v>3</v>
      </c>
      <c r="F248" s="10">
        <f t="shared" ca="1" si="27"/>
        <v>4</v>
      </c>
      <c r="G248" s="9">
        <f t="shared" ca="1" si="28"/>
        <v>0.98261530466497427</v>
      </c>
      <c r="H248" s="10">
        <f t="shared" ca="1" si="29"/>
        <v>20</v>
      </c>
    </row>
    <row r="249" spans="1:8">
      <c r="A249" s="8">
        <v>244</v>
      </c>
      <c r="B249" s="14">
        <f t="shared" ca="1" si="23"/>
        <v>0.5349428531959356</v>
      </c>
      <c r="C249" s="8" t="str">
        <f t="shared" ca="1" si="24"/>
        <v>Navegación</v>
      </c>
      <c r="D249" s="14">
        <f t="shared" ca="1" si="25"/>
        <v>0.80036281181996416</v>
      </c>
      <c r="E249" s="8">
        <f t="shared" ca="1" si="26"/>
        <v>5</v>
      </c>
      <c r="F249" s="8">
        <f t="shared" ca="1" si="27"/>
        <v>1</v>
      </c>
      <c r="G249" s="14">
        <f t="shared" ca="1" si="28"/>
        <v>0.8247719156432437</v>
      </c>
      <c r="H249" s="8">
        <f t="shared" ca="1" si="29"/>
        <v>15</v>
      </c>
    </row>
    <row r="250" spans="1:8">
      <c r="A250" s="8">
        <v>245</v>
      </c>
      <c r="B250" s="9">
        <f t="shared" ca="1" si="23"/>
        <v>0.82511074285653396</v>
      </c>
      <c r="C250" s="10" t="str">
        <f t="shared" ca="1" si="24"/>
        <v>Carrito</v>
      </c>
      <c r="D250" s="9">
        <f t="shared" ca="1" si="25"/>
        <v>0.28255645562018039</v>
      </c>
      <c r="E250" s="10">
        <f t="shared" ca="1" si="26"/>
        <v>2</v>
      </c>
      <c r="F250" s="10">
        <f t="shared" ca="1" si="27"/>
        <v>3</v>
      </c>
      <c r="G250" s="9">
        <f t="shared" ca="1" si="28"/>
        <v>0.49744946741807949</v>
      </c>
      <c r="H250" s="10">
        <f t="shared" ca="1" si="29"/>
        <v>12</v>
      </c>
    </row>
    <row r="251" spans="1:8">
      <c r="A251" s="8">
        <v>246</v>
      </c>
      <c r="B251" s="14">
        <f t="shared" ca="1" si="23"/>
        <v>0.68468125415093439</v>
      </c>
      <c r="C251" s="8" t="str">
        <f t="shared" ca="1" si="24"/>
        <v>Carrito</v>
      </c>
      <c r="D251" s="14">
        <f t="shared" ca="1" si="25"/>
        <v>0.4798594304406224</v>
      </c>
      <c r="E251" s="8">
        <f t="shared" ca="1" si="26"/>
        <v>3</v>
      </c>
      <c r="F251" s="8">
        <f t="shared" ca="1" si="27"/>
        <v>1</v>
      </c>
      <c r="G251" s="14">
        <f t="shared" ca="1" si="28"/>
        <v>4.2718734405383874E-2</v>
      </c>
      <c r="H251" s="8">
        <f t="shared" ca="1" si="29"/>
        <v>6</v>
      </c>
    </row>
    <row r="252" spans="1:8">
      <c r="A252" s="8">
        <v>247</v>
      </c>
      <c r="B252" s="9">
        <f t="shared" ca="1" si="23"/>
        <v>0.12386763263078104</v>
      </c>
      <c r="C252" s="10" t="str">
        <f t="shared" ca="1" si="24"/>
        <v>Navegación</v>
      </c>
      <c r="D252" s="9">
        <f t="shared" ca="1" si="25"/>
        <v>9.5502345629920549E-2</v>
      </c>
      <c r="E252" s="10">
        <f t="shared" ca="1" si="26"/>
        <v>1</v>
      </c>
      <c r="F252" s="10">
        <f t="shared" ca="1" si="27"/>
        <v>1</v>
      </c>
      <c r="G252" s="9">
        <f t="shared" ca="1" si="28"/>
        <v>0.61211674963048657</v>
      </c>
      <c r="H252" s="10">
        <f t="shared" ca="1" si="29"/>
        <v>13</v>
      </c>
    </row>
    <row r="253" spans="1:8">
      <c r="A253" s="8">
        <v>248</v>
      </c>
      <c r="B253" s="14">
        <f t="shared" ca="1" si="23"/>
        <v>1.3304488013373028E-2</v>
      </c>
      <c r="C253" s="8" t="str">
        <f t="shared" ca="1" si="24"/>
        <v>Navegación</v>
      </c>
      <c r="D253" s="14">
        <f t="shared" ca="1" si="25"/>
        <v>0.62449815071256742</v>
      </c>
      <c r="E253" s="8">
        <f t="shared" ca="1" si="26"/>
        <v>4</v>
      </c>
      <c r="F253" s="8">
        <f t="shared" ca="1" si="27"/>
        <v>4</v>
      </c>
      <c r="G253" s="14">
        <f t="shared" ca="1" si="28"/>
        <v>0.50892246020880438</v>
      </c>
      <c r="H253" s="8">
        <f t="shared" ca="1" si="29"/>
        <v>12</v>
      </c>
    </row>
    <row r="254" spans="1:8">
      <c r="A254" s="8">
        <v>249</v>
      </c>
      <c r="B254" s="9">
        <f t="shared" ca="1" si="23"/>
        <v>0.40783525406838661</v>
      </c>
      <c r="C254" s="10" t="str">
        <f t="shared" ca="1" si="24"/>
        <v>Navegación</v>
      </c>
      <c r="D254" s="9">
        <f t="shared" ca="1" si="25"/>
        <v>0.80126375611959499</v>
      </c>
      <c r="E254" s="10">
        <f t="shared" ca="1" si="26"/>
        <v>5</v>
      </c>
      <c r="F254" s="10">
        <f t="shared" ca="1" si="27"/>
        <v>3</v>
      </c>
      <c r="G254" s="9">
        <f t="shared" ca="1" si="28"/>
        <v>0.36376600279350824</v>
      </c>
      <c r="H254" s="10">
        <f t="shared" ca="1" si="29"/>
        <v>11</v>
      </c>
    </row>
    <row r="255" spans="1:8">
      <c r="A255" s="8">
        <v>250</v>
      </c>
      <c r="B255" s="14">
        <f t="shared" ca="1" si="23"/>
        <v>0.75411721732714276</v>
      </c>
      <c r="C255" s="8" t="str">
        <f t="shared" ca="1" si="24"/>
        <v>Carrito</v>
      </c>
      <c r="D255" s="14">
        <f t="shared" ca="1" si="25"/>
        <v>9.2661189969792668E-3</v>
      </c>
      <c r="E255" s="8">
        <f t="shared" ca="1" si="26"/>
        <v>1</v>
      </c>
      <c r="F255" s="8">
        <f t="shared" ca="1" si="27"/>
        <v>2</v>
      </c>
      <c r="G255" s="14">
        <f t="shared" ca="1" si="28"/>
        <v>0.18645348849430676</v>
      </c>
      <c r="H255" s="8">
        <f t="shared" ca="1" si="29"/>
        <v>9</v>
      </c>
    </row>
    <row r="256" spans="1:8">
      <c r="A256" s="8">
        <v>251</v>
      </c>
      <c r="B256" s="9">
        <f t="shared" ca="1" si="23"/>
        <v>0.50570322071660401</v>
      </c>
      <c r="C256" s="10" t="str">
        <f t="shared" ca="1" si="24"/>
        <v>Navegación</v>
      </c>
      <c r="D256" s="9">
        <f t="shared" ca="1" si="25"/>
        <v>0.33543809153447601</v>
      </c>
      <c r="E256" s="10">
        <f t="shared" ca="1" si="26"/>
        <v>2</v>
      </c>
      <c r="F256" s="10">
        <f t="shared" ca="1" si="27"/>
        <v>1</v>
      </c>
      <c r="G256" s="9">
        <f t="shared" ca="1" si="28"/>
        <v>0.29992969138653258</v>
      </c>
      <c r="H256" s="10">
        <f t="shared" ca="1" si="29"/>
        <v>10</v>
      </c>
    </row>
    <row r="257" spans="1:8">
      <c r="A257" s="8">
        <v>252</v>
      </c>
      <c r="B257" s="14">
        <f t="shared" ca="1" si="23"/>
        <v>6.3509714023901265E-2</v>
      </c>
      <c r="C257" s="8" t="str">
        <f t="shared" ca="1" si="24"/>
        <v>Navegación</v>
      </c>
      <c r="D257" s="14">
        <f t="shared" ca="1" si="25"/>
        <v>0.15734663286854855</v>
      </c>
      <c r="E257" s="8">
        <f t="shared" ca="1" si="26"/>
        <v>1</v>
      </c>
      <c r="F257" s="8">
        <f t="shared" ca="1" si="27"/>
        <v>3</v>
      </c>
      <c r="G257" s="14">
        <f t="shared" ca="1" si="28"/>
        <v>0.61899010738499693</v>
      </c>
      <c r="H257" s="8">
        <f t="shared" ca="1" si="29"/>
        <v>13</v>
      </c>
    </row>
    <row r="258" spans="1:8">
      <c r="A258" s="8">
        <v>253</v>
      </c>
      <c r="B258" s="9">
        <f t="shared" ca="1" si="23"/>
        <v>4.5901729699788341E-2</v>
      </c>
      <c r="C258" s="10" t="str">
        <f t="shared" ca="1" si="24"/>
        <v>Navegación</v>
      </c>
      <c r="D258" s="9">
        <f t="shared" ca="1" si="25"/>
        <v>0.23111067640933847</v>
      </c>
      <c r="E258" s="10">
        <f t="shared" ca="1" si="26"/>
        <v>2</v>
      </c>
      <c r="F258" s="10">
        <f t="shared" ca="1" si="27"/>
        <v>2</v>
      </c>
      <c r="G258" s="9">
        <f t="shared" ca="1" si="28"/>
        <v>0.96302636537340081</v>
      </c>
      <c r="H258" s="10">
        <f t="shared" ca="1" si="29"/>
        <v>19</v>
      </c>
    </row>
    <row r="259" spans="1:8">
      <c r="A259" s="8">
        <v>254</v>
      </c>
      <c r="B259" s="14">
        <f t="shared" ca="1" si="23"/>
        <v>0.48776065582296346</v>
      </c>
      <c r="C259" s="8" t="str">
        <f t="shared" ca="1" si="24"/>
        <v>Navegación</v>
      </c>
      <c r="D259" s="14">
        <f t="shared" ca="1" si="25"/>
        <v>0.97704121473174443</v>
      </c>
      <c r="E259" s="8">
        <f t="shared" ca="1" si="26"/>
        <v>5</v>
      </c>
      <c r="F259" s="8">
        <f t="shared" ca="1" si="27"/>
        <v>1</v>
      </c>
      <c r="G259" s="14">
        <f t="shared" ca="1" si="28"/>
        <v>0.99652761878076912</v>
      </c>
      <c r="H259" s="8">
        <f t="shared" ca="1" si="29"/>
        <v>22</v>
      </c>
    </row>
    <row r="260" spans="1:8">
      <c r="A260" s="8">
        <v>255</v>
      </c>
      <c r="B260" s="9">
        <f t="shared" ca="1" si="23"/>
        <v>0.96531740999097815</v>
      </c>
      <c r="C260" s="10" t="str">
        <f t="shared" ca="1" si="24"/>
        <v>Checkout</v>
      </c>
      <c r="D260" s="9">
        <f t="shared" ca="1" si="25"/>
        <v>0.98037614615050728</v>
      </c>
      <c r="E260" s="10">
        <f t="shared" ca="1" si="26"/>
        <v>5</v>
      </c>
      <c r="F260" s="10">
        <f t="shared" ca="1" si="27"/>
        <v>3</v>
      </c>
      <c r="G260" s="9">
        <f t="shared" ca="1" si="28"/>
        <v>0.37020250663080412</v>
      </c>
      <c r="H260" s="10">
        <f t="shared" ca="1" si="29"/>
        <v>11</v>
      </c>
    </row>
    <row r="261" spans="1:8">
      <c r="A261" s="8">
        <v>256</v>
      </c>
      <c r="B261" s="14">
        <f t="shared" ca="1" si="23"/>
        <v>0.30209417613110678</v>
      </c>
      <c r="C261" s="8" t="str">
        <f t="shared" ca="1" si="24"/>
        <v>Navegación</v>
      </c>
      <c r="D261" s="14">
        <f t="shared" ca="1" si="25"/>
        <v>0.2522771721779854</v>
      </c>
      <c r="E261" s="8">
        <f t="shared" ca="1" si="26"/>
        <v>2</v>
      </c>
      <c r="F261" s="8">
        <f t="shared" ca="1" si="27"/>
        <v>2</v>
      </c>
      <c r="G261" s="14">
        <f t="shared" ca="1" si="28"/>
        <v>8.4880282800965712E-2</v>
      </c>
      <c r="H261" s="8">
        <f t="shared" ca="1" si="29"/>
        <v>7</v>
      </c>
    </row>
    <row r="262" spans="1:8">
      <c r="A262" s="8">
        <v>257</v>
      </c>
      <c r="B262" s="9">
        <f t="shared" ref="B262:B325" ca="1" si="30">RAND()</f>
        <v>0.31918790708638112</v>
      </c>
      <c r="C262" s="10" t="str">
        <f t="shared" ref="C262:C325" ca="1" si="31">VLOOKUP(B262, $J$6:$K$8, 2, TRUE)</f>
        <v>Navegación</v>
      </c>
      <c r="D262" s="9">
        <f t="shared" ref="D262:D325" ca="1" si="32">RAND()</f>
        <v>0.36534895658966893</v>
      </c>
      <c r="E262" s="10">
        <f t="shared" ref="E262:E325" ca="1" si="33">INT(D262*($O$7-$O$6+1))+$O$6</f>
        <v>2</v>
      </c>
      <c r="F262" s="10">
        <f t="shared" ref="F262:F325" ca="1" si="34">RANDBETWEEN($O$6, $O$7)</f>
        <v>2</v>
      </c>
      <c r="G262" s="9">
        <f t="shared" ref="G262:G325" ca="1" si="35">RAND()</f>
        <v>0.42885837591772569</v>
      </c>
      <c r="H262" s="10">
        <f t="shared" ref="H262:H325" ca="1" si="36">VLOOKUP(G262, $W$5:$X$39, 2, TRUE)</f>
        <v>11</v>
      </c>
    </row>
    <row r="263" spans="1:8">
      <c r="A263" s="8">
        <v>258</v>
      </c>
      <c r="B263" s="14">
        <f t="shared" ca="1" si="30"/>
        <v>0.94764105106893692</v>
      </c>
      <c r="C263" s="8" t="str">
        <f t="shared" ca="1" si="31"/>
        <v>Checkout</v>
      </c>
      <c r="D263" s="14">
        <f t="shared" ca="1" si="32"/>
        <v>0.76841166003223993</v>
      </c>
      <c r="E263" s="8">
        <f t="shared" ca="1" si="33"/>
        <v>4</v>
      </c>
      <c r="F263" s="8">
        <f t="shared" ca="1" si="34"/>
        <v>4</v>
      </c>
      <c r="G263" s="14">
        <f t="shared" ca="1" si="35"/>
        <v>0.48320308099789189</v>
      </c>
      <c r="H263" s="8">
        <f t="shared" ca="1" si="36"/>
        <v>12</v>
      </c>
    </row>
    <row r="264" spans="1:8">
      <c r="A264" s="8">
        <v>259</v>
      </c>
      <c r="B264" s="9">
        <f t="shared" ca="1" si="30"/>
        <v>0.60646969554745711</v>
      </c>
      <c r="C264" s="10" t="str">
        <f t="shared" ca="1" si="31"/>
        <v>Carrito</v>
      </c>
      <c r="D264" s="9">
        <f t="shared" ca="1" si="32"/>
        <v>0.46698565517179524</v>
      </c>
      <c r="E264" s="10">
        <f t="shared" ca="1" si="33"/>
        <v>3</v>
      </c>
      <c r="F264" s="10">
        <f t="shared" ca="1" si="34"/>
        <v>4</v>
      </c>
      <c r="G264" s="9">
        <f t="shared" ca="1" si="35"/>
        <v>0.74365530604130048</v>
      </c>
      <c r="H264" s="10">
        <f t="shared" ca="1" si="36"/>
        <v>14</v>
      </c>
    </row>
    <row r="265" spans="1:8">
      <c r="A265" s="8">
        <v>260</v>
      </c>
      <c r="B265" s="14">
        <f t="shared" ca="1" si="30"/>
        <v>0.98292413829962955</v>
      </c>
      <c r="C265" s="8" t="str">
        <f t="shared" ca="1" si="31"/>
        <v>Checkout</v>
      </c>
      <c r="D265" s="14">
        <f t="shared" ca="1" si="32"/>
        <v>0.92354302872835026</v>
      </c>
      <c r="E265" s="8">
        <f t="shared" ca="1" si="33"/>
        <v>5</v>
      </c>
      <c r="F265" s="8">
        <f t="shared" ca="1" si="34"/>
        <v>2</v>
      </c>
      <c r="G265" s="14">
        <f t="shared" ca="1" si="35"/>
        <v>0.51715500647082224</v>
      </c>
      <c r="H265" s="8">
        <f t="shared" ca="1" si="36"/>
        <v>12</v>
      </c>
    </row>
    <row r="266" spans="1:8">
      <c r="A266" s="8">
        <v>261</v>
      </c>
      <c r="B266" s="9">
        <f t="shared" ca="1" si="30"/>
        <v>0.62151343417042992</v>
      </c>
      <c r="C266" s="10" t="str">
        <f t="shared" ca="1" si="31"/>
        <v>Carrito</v>
      </c>
      <c r="D266" s="9">
        <f t="shared" ca="1" si="32"/>
        <v>0.74212348233450109</v>
      </c>
      <c r="E266" s="10">
        <f t="shared" ca="1" si="33"/>
        <v>4</v>
      </c>
      <c r="F266" s="10">
        <f t="shared" ca="1" si="34"/>
        <v>5</v>
      </c>
      <c r="G266" s="9">
        <f t="shared" ca="1" si="35"/>
        <v>0.23249542915960919</v>
      </c>
      <c r="H266" s="10">
        <f t="shared" ca="1" si="36"/>
        <v>9</v>
      </c>
    </row>
    <row r="267" spans="1:8">
      <c r="A267" s="8">
        <v>262</v>
      </c>
      <c r="B267" s="14">
        <f t="shared" ca="1" si="30"/>
        <v>0.84486785354127669</v>
      </c>
      <c r="C267" s="8" t="str">
        <f t="shared" ca="1" si="31"/>
        <v>Carrito</v>
      </c>
      <c r="D267" s="14">
        <f t="shared" ca="1" si="32"/>
        <v>0.39492207868659812</v>
      </c>
      <c r="E267" s="8">
        <f t="shared" ca="1" si="33"/>
        <v>2</v>
      </c>
      <c r="F267" s="8">
        <f t="shared" ca="1" si="34"/>
        <v>2</v>
      </c>
      <c r="G267" s="14">
        <f t="shared" ca="1" si="35"/>
        <v>0.45218676546754533</v>
      </c>
      <c r="H267" s="8">
        <f t="shared" ca="1" si="36"/>
        <v>11</v>
      </c>
    </row>
    <row r="268" spans="1:8">
      <c r="A268" s="8">
        <v>263</v>
      </c>
      <c r="B268" s="9">
        <f t="shared" ca="1" si="30"/>
        <v>0.53907133011954755</v>
      </c>
      <c r="C268" s="10" t="str">
        <f t="shared" ca="1" si="31"/>
        <v>Navegación</v>
      </c>
      <c r="D268" s="9">
        <f t="shared" ca="1" si="32"/>
        <v>0.4188038428785037</v>
      </c>
      <c r="E268" s="10">
        <f t="shared" ca="1" si="33"/>
        <v>3</v>
      </c>
      <c r="F268" s="10">
        <f t="shared" ca="1" si="34"/>
        <v>2</v>
      </c>
      <c r="G268" s="9">
        <f t="shared" ca="1" si="35"/>
        <v>0.40156989662114728</v>
      </c>
      <c r="H268" s="10">
        <f t="shared" ca="1" si="36"/>
        <v>11</v>
      </c>
    </row>
    <row r="269" spans="1:8">
      <c r="A269" s="8">
        <v>264</v>
      </c>
      <c r="B269" s="14">
        <f t="shared" ca="1" si="30"/>
        <v>0.50613454749725473</v>
      </c>
      <c r="C269" s="8" t="str">
        <f t="shared" ca="1" si="31"/>
        <v>Navegación</v>
      </c>
      <c r="D269" s="14">
        <f t="shared" ca="1" si="32"/>
        <v>0.9763350762968569</v>
      </c>
      <c r="E269" s="8">
        <f t="shared" ca="1" si="33"/>
        <v>5</v>
      </c>
      <c r="F269" s="8">
        <f t="shared" ca="1" si="34"/>
        <v>3</v>
      </c>
      <c r="G269" s="14">
        <f t="shared" ca="1" si="35"/>
        <v>0.38092224516882545</v>
      </c>
      <c r="H269" s="8">
        <f t="shared" ca="1" si="36"/>
        <v>11</v>
      </c>
    </row>
    <row r="270" spans="1:8">
      <c r="A270" s="8">
        <v>265</v>
      </c>
      <c r="B270" s="9">
        <f t="shared" ca="1" si="30"/>
        <v>0.17674990852465944</v>
      </c>
      <c r="C270" s="10" t="str">
        <f t="shared" ca="1" si="31"/>
        <v>Navegación</v>
      </c>
      <c r="D270" s="9">
        <f t="shared" ca="1" si="32"/>
        <v>0.842788094360582</v>
      </c>
      <c r="E270" s="10">
        <f t="shared" ca="1" si="33"/>
        <v>5</v>
      </c>
      <c r="F270" s="10">
        <f t="shared" ca="1" si="34"/>
        <v>5</v>
      </c>
      <c r="G270" s="9">
        <f t="shared" ca="1" si="35"/>
        <v>0.65264787087743981</v>
      </c>
      <c r="H270" s="10">
        <f t="shared" ca="1" si="36"/>
        <v>13</v>
      </c>
    </row>
    <row r="271" spans="1:8">
      <c r="A271" s="8">
        <v>266</v>
      </c>
      <c r="B271" s="14">
        <f t="shared" ca="1" si="30"/>
        <v>0.69479320104761966</v>
      </c>
      <c r="C271" s="8" t="str">
        <f t="shared" ca="1" si="31"/>
        <v>Carrito</v>
      </c>
      <c r="D271" s="14">
        <f t="shared" ca="1" si="32"/>
        <v>4.3541263683982812E-2</v>
      </c>
      <c r="E271" s="8">
        <f t="shared" ca="1" si="33"/>
        <v>1</v>
      </c>
      <c r="F271" s="8">
        <f t="shared" ca="1" si="34"/>
        <v>5</v>
      </c>
      <c r="G271" s="14">
        <f t="shared" ca="1" si="35"/>
        <v>0.4092775934724282</v>
      </c>
      <c r="H271" s="8">
        <f t="shared" ca="1" si="36"/>
        <v>11</v>
      </c>
    </row>
    <row r="272" spans="1:8">
      <c r="A272" s="8">
        <v>267</v>
      </c>
      <c r="B272" s="9">
        <f t="shared" ca="1" si="30"/>
        <v>0.12745411792514805</v>
      </c>
      <c r="C272" s="10" t="str">
        <f t="shared" ca="1" si="31"/>
        <v>Navegación</v>
      </c>
      <c r="D272" s="9">
        <f t="shared" ca="1" si="32"/>
        <v>0.27551971114531548</v>
      </c>
      <c r="E272" s="10">
        <f t="shared" ca="1" si="33"/>
        <v>2</v>
      </c>
      <c r="F272" s="10">
        <f t="shared" ca="1" si="34"/>
        <v>5</v>
      </c>
      <c r="G272" s="9">
        <f t="shared" ca="1" si="35"/>
        <v>0.56872169971971032</v>
      </c>
      <c r="H272" s="10">
        <f t="shared" ca="1" si="36"/>
        <v>12</v>
      </c>
    </row>
    <row r="273" spans="1:8">
      <c r="A273" s="8">
        <v>268</v>
      </c>
      <c r="B273" s="14">
        <f t="shared" ca="1" si="30"/>
        <v>0.43648020915467034</v>
      </c>
      <c r="C273" s="8" t="str">
        <f t="shared" ca="1" si="31"/>
        <v>Navegación</v>
      </c>
      <c r="D273" s="14">
        <f t="shared" ca="1" si="32"/>
        <v>0.77671825220198076</v>
      </c>
      <c r="E273" s="8">
        <f t="shared" ca="1" si="33"/>
        <v>4</v>
      </c>
      <c r="F273" s="8">
        <f t="shared" ca="1" si="34"/>
        <v>1</v>
      </c>
      <c r="G273" s="14">
        <f t="shared" ca="1" si="35"/>
        <v>0.43892871768260144</v>
      </c>
      <c r="H273" s="8">
        <f t="shared" ca="1" si="36"/>
        <v>11</v>
      </c>
    </row>
    <row r="274" spans="1:8">
      <c r="A274" s="8">
        <v>269</v>
      </c>
      <c r="B274" s="9">
        <f t="shared" ca="1" si="30"/>
        <v>0.38643163711128692</v>
      </c>
      <c r="C274" s="10" t="str">
        <f t="shared" ca="1" si="31"/>
        <v>Navegación</v>
      </c>
      <c r="D274" s="9">
        <f t="shared" ca="1" si="32"/>
        <v>0.53434469428727027</v>
      </c>
      <c r="E274" s="10">
        <f t="shared" ca="1" si="33"/>
        <v>3</v>
      </c>
      <c r="F274" s="10">
        <f t="shared" ca="1" si="34"/>
        <v>3</v>
      </c>
      <c r="G274" s="9">
        <f t="shared" ca="1" si="35"/>
        <v>0.43416361652209667</v>
      </c>
      <c r="H274" s="10">
        <f t="shared" ca="1" si="36"/>
        <v>11</v>
      </c>
    </row>
    <row r="275" spans="1:8">
      <c r="A275" s="8">
        <v>270</v>
      </c>
      <c r="B275" s="14">
        <f t="shared" ca="1" si="30"/>
        <v>3.5001746726790239E-2</v>
      </c>
      <c r="C275" s="8" t="str">
        <f t="shared" ca="1" si="31"/>
        <v>Navegación</v>
      </c>
      <c r="D275" s="14">
        <f t="shared" ca="1" si="32"/>
        <v>0.58099261569117988</v>
      </c>
      <c r="E275" s="8">
        <f t="shared" ca="1" si="33"/>
        <v>3</v>
      </c>
      <c r="F275" s="8">
        <f t="shared" ca="1" si="34"/>
        <v>3</v>
      </c>
      <c r="G275" s="14">
        <f t="shared" ca="1" si="35"/>
        <v>0.14449308691471174</v>
      </c>
      <c r="H275" s="8">
        <f t="shared" ca="1" si="36"/>
        <v>8</v>
      </c>
    </row>
    <row r="276" spans="1:8">
      <c r="A276" s="8">
        <v>271</v>
      </c>
      <c r="B276" s="9">
        <f t="shared" ca="1" si="30"/>
        <v>0.96758499528071518</v>
      </c>
      <c r="C276" s="10" t="str">
        <f t="shared" ca="1" si="31"/>
        <v>Checkout</v>
      </c>
      <c r="D276" s="9">
        <f t="shared" ca="1" si="32"/>
        <v>0.20347776179849741</v>
      </c>
      <c r="E276" s="10">
        <f t="shared" ca="1" si="33"/>
        <v>2</v>
      </c>
      <c r="F276" s="10">
        <f t="shared" ca="1" si="34"/>
        <v>3</v>
      </c>
      <c r="G276" s="9">
        <f t="shared" ca="1" si="35"/>
        <v>1.6802937198298951E-2</v>
      </c>
      <c r="H276" s="10">
        <f t="shared" ca="1" si="36"/>
        <v>5</v>
      </c>
    </row>
    <row r="277" spans="1:8">
      <c r="A277" s="8">
        <v>272</v>
      </c>
      <c r="B277" s="14">
        <f t="shared" ca="1" si="30"/>
        <v>0.80616144882554097</v>
      </c>
      <c r="C277" s="8" t="str">
        <f t="shared" ca="1" si="31"/>
        <v>Carrito</v>
      </c>
      <c r="D277" s="14">
        <f t="shared" ca="1" si="32"/>
        <v>0.47413231063526262</v>
      </c>
      <c r="E277" s="8">
        <f t="shared" ca="1" si="33"/>
        <v>3</v>
      </c>
      <c r="F277" s="8">
        <f t="shared" ca="1" si="34"/>
        <v>4</v>
      </c>
      <c r="G277" s="14">
        <f t="shared" ca="1" si="35"/>
        <v>1.5093002256680532E-2</v>
      </c>
      <c r="H277" s="8">
        <f t="shared" ca="1" si="36"/>
        <v>5</v>
      </c>
    </row>
    <row r="278" spans="1:8">
      <c r="A278" s="8">
        <v>273</v>
      </c>
      <c r="B278" s="9">
        <f t="shared" ca="1" si="30"/>
        <v>0.68207470378132273</v>
      </c>
      <c r="C278" s="10" t="str">
        <f t="shared" ca="1" si="31"/>
        <v>Carrito</v>
      </c>
      <c r="D278" s="9">
        <f t="shared" ca="1" si="32"/>
        <v>0.57334031455304546</v>
      </c>
      <c r="E278" s="10">
        <f t="shared" ca="1" si="33"/>
        <v>3</v>
      </c>
      <c r="F278" s="10">
        <f t="shared" ca="1" si="34"/>
        <v>2</v>
      </c>
      <c r="G278" s="9">
        <f t="shared" ca="1" si="35"/>
        <v>0.20707682059130028</v>
      </c>
      <c r="H278" s="10">
        <f t="shared" ca="1" si="36"/>
        <v>9</v>
      </c>
    </row>
    <row r="279" spans="1:8">
      <c r="A279" s="8">
        <v>274</v>
      </c>
      <c r="B279" s="14">
        <f t="shared" ca="1" si="30"/>
        <v>0.57321873165256243</v>
      </c>
      <c r="C279" s="8" t="str">
        <f t="shared" ca="1" si="31"/>
        <v>Carrito</v>
      </c>
      <c r="D279" s="14">
        <f t="shared" ca="1" si="32"/>
        <v>0.9022345004852953</v>
      </c>
      <c r="E279" s="8">
        <f t="shared" ca="1" si="33"/>
        <v>5</v>
      </c>
      <c r="F279" s="8">
        <f t="shared" ca="1" si="34"/>
        <v>5</v>
      </c>
      <c r="G279" s="14">
        <f t="shared" ca="1" si="35"/>
        <v>6.817555405270459E-2</v>
      </c>
      <c r="H279" s="8">
        <f t="shared" ca="1" si="36"/>
        <v>7</v>
      </c>
    </row>
    <row r="280" spans="1:8">
      <c r="A280" s="8">
        <v>275</v>
      </c>
      <c r="B280" s="9">
        <f t="shared" ca="1" si="30"/>
        <v>0.75157459146105587</v>
      </c>
      <c r="C280" s="10" t="str">
        <f t="shared" ca="1" si="31"/>
        <v>Carrito</v>
      </c>
      <c r="D280" s="9">
        <f t="shared" ca="1" si="32"/>
        <v>0.76304467271172094</v>
      </c>
      <c r="E280" s="10">
        <f t="shared" ca="1" si="33"/>
        <v>4</v>
      </c>
      <c r="F280" s="10">
        <f t="shared" ca="1" si="34"/>
        <v>4</v>
      </c>
      <c r="G280" s="9">
        <f t="shared" ca="1" si="35"/>
        <v>0.33678073891467808</v>
      </c>
      <c r="H280" s="10">
        <f t="shared" ca="1" si="36"/>
        <v>10</v>
      </c>
    </row>
    <row r="281" spans="1:8">
      <c r="A281" s="8">
        <v>276</v>
      </c>
      <c r="B281" s="14">
        <f t="shared" ca="1" si="30"/>
        <v>0.5632026231055961</v>
      </c>
      <c r="C281" s="8" t="str">
        <f t="shared" ca="1" si="31"/>
        <v>Carrito</v>
      </c>
      <c r="D281" s="14">
        <f t="shared" ca="1" si="32"/>
        <v>0.75392747655712922</v>
      </c>
      <c r="E281" s="8">
        <f t="shared" ca="1" si="33"/>
        <v>4</v>
      </c>
      <c r="F281" s="8">
        <f t="shared" ca="1" si="34"/>
        <v>2</v>
      </c>
      <c r="G281" s="14">
        <f t="shared" ca="1" si="35"/>
        <v>0.40423241443742497</v>
      </c>
      <c r="H281" s="8">
        <f t="shared" ca="1" si="36"/>
        <v>11</v>
      </c>
    </row>
    <row r="282" spans="1:8">
      <c r="A282" s="8">
        <v>277</v>
      </c>
      <c r="B282" s="9">
        <f t="shared" ca="1" si="30"/>
        <v>0.20259064366605606</v>
      </c>
      <c r="C282" s="10" t="str">
        <f t="shared" ca="1" si="31"/>
        <v>Navegación</v>
      </c>
      <c r="D282" s="9">
        <f t="shared" ca="1" si="32"/>
        <v>0.99298314978978719</v>
      </c>
      <c r="E282" s="10">
        <f t="shared" ca="1" si="33"/>
        <v>5</v>
      </c>
      <c r="F282" s="10">
        <f t="shared" ca="1" si="34"/>
        <v>1</v>
      </c>
      <c r="G282" s="9">
        <f t="shared" ca="1" si="35"/>
        <v>0.9038642678152411</v>
      </c>
      <c r="H282" s="10">
        <f t="shared" ca="1" si="36"/>
        <v>17</v>
      </c>
    </row>
    <row r="283" spans="1:8">
      <c r="A283" s="8">
        <v>278</v>
      </c>
      <c r="B283" s="14">
        <f t="shared" ca="1" si="30"/>
        <v>0.70641121389065265</v>
      </c>
      <c r="C283" s="8" t="str">
        <f t="shared" ca="1" si="31"/>
        <v>Carrito</v>
      </c>
      <c r="D283" s="14">
        <f t="shared" ca="1" si="32"/>
        <v>0.30131449603717497</v>
      </c>
      <c r="E283" s="8">
        <f t="shared" ca="1" si="33"/>
        <v>2</v>
      </c>
      <c r="F283" s="8">
        <f t="shared" ca="1" si="34"/>
        <v>4</v>
      </c>
      <c r="G283" s="14">
        <f t="shared" ca="1" si="35"/>
        <v>0.55031858750061813</v>
      </c>
      <c r="H283" s="8">
        <f t="shared" ca="1" si="36"/>
        <v>12</v>
      </c>
    </row>
    <row r="284" spans="1:8">
      <c r="A284" s="8">
        <v>279</v>
      </c>
      <c r="B284" s="9">
        <f t="shared" ca="1" si="30"/>
        <v>0.58494586806427307</v>
      </c>
      <c r="C284" s="10" t="str">
        <f t="shared" ca="1" si="31"/>
        <v>Carrito</v>
      </c>
      <c r="D284" s="9">
        <f t="shared" ca="1" si="32"/>
        <v>0.32309277653838075</v>
      </c>
      <c r="E284" s="10">
        <f t="shared" ca="1" si="33"/>
        <v>2</v>
      </c>
      <c r="F284" s="10">
        <f t="shared" ca="1" si="34"/>
        <v>5</v>
      </c>
      <c r="G284" s="9">
        <f t="shared" ca="1" si="35"/>
        <v>0.8766476873905944</v>
      </c>
      <c r="H284" s="10">
        <f t="shared" ca="1" si="36"/>
        <v>16</v>
      </c>
    </row>
    <row r="285" spans="1:8">
      <c r="A285" s="8">
        <v>280</v>
      </c>
      <c r="B285" s="14">
        <f t="shared" ca="1" si="30"/>
        <v>0.56762281422197591</v>
      </c>
      <c r="C285" s="8" t="str">
        <f t="shared" ca="1" si="31"/>
        <v>Carrito</v>
      </c>
      <c r="D285" s="14">
        <f t="shared" ca="1" si="32"/>
        <v>0.23867118511077956</v>
      </c>
      <c r="E285" s="8">
        <f t="shared" ca="1" si="33"/>
        <v>2</v>
      </c>
      <c r="F285" s="8">
        <f t="shared" ca="1" si="34"/>
        <v>5</v>
      </c>
      <c r="G285" s="14">
        <f t="shared" ca="1" si="35"/>
        <v>0.63857491199939165</v>
      </c>
      <c r="H285" s="8">
        <f t="shared" ca="1" si="36"/>
        <v>13</v>
      </c>
    </row>
    <row r="286" spans="1:8">
      <c r="A286" s="8">
        <v>281</v>
      </c>
      <c r="B286" s="9">
        <f t="shared" ca="1" si="30"/>
        <v>0.65622779448725421</v>
      </c>
      <c r="C286" s="10" t="str">
        <f t="shared" ca="1" si="31"/>
        <v>Carrito</v>
      </c>
      <c r="D286" s="9">
        <f t="shared" ca="1" si="32"/>
        <v>0.48318909814129973</v>
      </c>
      <c r="E286" s="10">
        <f t="shared" ca="1" si="33"/>
        <v>3</v>
      </c>
      <c r="F286" s="10">
        <f t="shared" ca="1" si="34"/>
        <v>5</v>
      </c>
      <c r="G286" s="9">
        <f t="shared" ca="1" si="35"/>
        <v>0.37760285782409786</v>
      </c>
      <c r="H286" s="10">
        <f t="shared" ca="1" si="36"/>
        <v>11</v>
      </c>
    </row>
    <row r="287" spans="1:8">
      <c r="A287" s="8">
        <v>282</v>
      </c>
      <c r="B287" s="14">
        <f t="shared" ca="1" si="30"/>
        <v>0.42328180352458766</v>
      </c>
      <c r="C287" s="8" t="str">
        <f t="shared" ca="1" si="31"/>
        <v>Navegación</v>
      </c>
      <c r="D287" s="14">
        <f t="shared" ca="1" si="32"/>
        <v>0.7556301469019685</v>
      </c>
      <c r="E287" s="8">
        <f t="shared" ca="1" si="33"/>
        <v>4</v>
      </c>
      <c r="F287" s="8">
        <f t="shared" ca="1" si="34"/>
        <v>4</v>
      </c>
      <c r="G287" s="14">
        <f t="shared" ca="1" si="35"/>
        <v>0.74543265518953339</v>
      </c>
      <c r="H287" s="8">
        <f t="shared" ca="1" si="36"/>
        <v>14</v>
      </c>
    </row>
    <row r="288" spans="1:8">
      <c r="A288" s="8">
        <v>283</v>
      </c>
      <c r="B288" s="9">
        <f t="shared" ca="1" si="30"/>
        <v>0.15849932759751939</v>
      </c>
      <c r="C288" s="10" t="str">
        <f t="shared" ca="1" si="31"/>
        <v>Navegación</v>
      </c>
      <c r="D288" s="9">
        <f t="shared" ca="1" si="32"/>
        <v>0.66235468762984595</v>
      </c>
      <c r="E288" s="10">
        <f t="shared" ca="1" si="33"/>
        <v>4</v>
      </c>
      <c r="F288" s="10">
        <f t="shared" ca="1" si="34"/>
        <v>4</v>
      </c>
      <c r="G288" s="9">
        <f t="shared" ca="1" si="35"/>
        <v>0.55478079554822224</v>
      </c>
      <c r="H288" s="10">
        <f t="shared" ca="1" si="36"/>
        <v>12</v>
      </c>
    </row>
    <row r="289" spans="1:8">
      <c r="A289" s="8">
        <v>284</v>
      </c>
      <c r="B289" s="14">
        <f t="shared" ca="1" si="30"/>
        <v>0.23539586850654282</v>
      </c>
      <c r="C289" s="8" t="str">
        <f t="shared" ca="1" si="31"/>
        <v>Navegación</v>
      </c>
      <c r="D289" s="14">
        <f t="shared" ca="1" si="32"/>
        <v>0.63302253286774335</v>
      </c>
      <c r="E289" s="8">
        <f t="shared" ca="1" si="33"/>
        <v>4</v>
      </c>
      <c r="F289" s="8">
        <f t="shared" ca="1" si="34"/>
        <v>4</v>
      </c>
      <c r="G289" s="14">
        <f t="shared" ca="1" si="35"/>
        <v>8.7444022901717045E-2</v>
      </c>
      <c r="H289" s="8">
        <f t="shared" ca="1" si="36"/>
        <v>7</v>
      </c>
    </row>
    <row r="290" spans="1:8">
      <c r="A290" s="8">
        <v>285</v>
      </c>
      <c r="B290" s="9">
        <f t="shared" ca="1" si="30"/>
        <v>0.35862610143931206</v>
      </c>
      <c r="C290" s="10" t="str">
        <f t="shared" ca="1" si="31"/>
        <v>Navegación</v>
      </c>
      <c r="D290" s="9">
        <f t="shared" ca="1" si="32"/>
        <v>0.15166987521379272</v>
      </c>
      <c r="E290" s="10">
        <f t="shared" ca="1" si="33"/>
        <v>1</v>
      </c>
      <c r="F290" s="10">
        <f t="shared" ca="1" si="34"/>
        <v>3</v>
      </c>
      <c r="G290" s="9">
        <f t="shared" ca="1" si="35"/>
        <v>0.91305034695152587</v>
      </c>
      <c r="H290" s="10">
        <f t="shared" ca="1" si="36"/>
        <v>17</v>
      </c>
    </row>
    <row r="291" spans="1:8">
      <c r="A291" s="8">
        <v>286</v>
      </c>
      <c r="B291" s="14">
        <f t="shared" ca="1" si="30"/>
        <v>0.45866018429125255</v>
      </c>
      <c r="C291" s="8" t="str">
        <f t="shared" ca="1" si="31"/>
        <v>Navegación</v>
      </c>
      <c r="D291" s="14">
        <f t="shared" ca="1" si="32"/>
        <v>0.57634105604771513</v>
      </c>
      <c r="E291" s="8">
        <f t="shared" ca="1" si="33"/>
        <v>3</v>
      </c>
      <c r="F291" s="8">
        <f t="shared" ca="1" si="34"/>
        <v>2</v>
      </c>
      <c r="G291" s="14">
        <f t="shared" ca="1" si="35"/>
        <v>0.50338813462005794</v>
      </c>
      <c r="H291" s="8">
        <f t="shared" ca="1" si="36"/>
        <v>12</v>
      </c>
    </row>
    <row r="292" spans="1:8">
      <c r="A292" s="8">
        <v>287</v>
      </c>
      <c r="B292" s="9">
        <f t="shared" ca="1" si="30"/>
        <v>0.19284551682419282</v>
      </c>
      <c r="C292" s="10" t="str">
        <f t="shared" ca="1" si="31"/>
        <v>Navegación</v>
      </c>
      <c r="D292" s="9">
        <f t="shared" ca="1" si="32"/>
        <v>0.86987092813305267</v>
      </c>
      <c r="E292" s="10">
        <f t="shared" ca="1" si="33"/>
        <v>5</v>
      </c>
      <c r="F292" s="10">
        <f t="shared" ca="1" si="34"/>
        <v>1</v>
      </c>
      <c r="G292" s="9">
        <f t="shared" ca="1" si="35"/>
        <v>0.94082499087525651</v>
      </c>
      <c r="H292" s="10">
        <f t="shared" ca="1" si="36"/>
        <v>18</v>
      </c>
    </row>
    <row r="293" spans="1:8">
      <c r="A293" s="8">
        <v>288</v>
      </c>
      <c r="B293" s="14">
        <f t="shared" ca="1" si="30"/>
        <v>0.52883045398394479</v>
      </c>
      <c r="C293" s="8" t="str">
        <f t="shared" ca="1" si="31"/>
        <v>Navegación</v>
      </c>
      <c r="D293" s="14">
        <f t="shared" ca="1" si="32"/>
        <v>0.5941214032322002</v>
      </c>
      <c r="E293" s="8">
        <f t="shared" ca="1" si="33"/>
        <v>3</v>
      </c>
      <c r="F293" s="8">
        <f t="shared" ca="1" si="34"/>
        <v>2</v>
      </c>
      <c r="G293" s="14">
        <f t="shared" ca="1" si="35"/>
        <v>0.70282020014329705</v>
      </c>
      <c r="H293" s="8">
        <f t="shared" ca="1" si="36"/>
        <v>14</v>
      </c>
    </row>
    <row r="294" spans="1:8">
      <c r="A294" s="8">
        <v>289</v>
      </c>
      <c r="B294" s="9">
        <f t="shared" ca="1" si="30"/>
        <v>0.39548281843425326</v>
      </c>
      <c r="C294" s="10" t="str">
        <f t="shared" ca="1" si="31"/>
        <v>Navegación</v>
      </c>
      <c r="D294" s="9">
        <f t="shared" ca="1" si="32"/>
        <v>0.55174941664352528</v>
      </c>
      <c r="E294" s="10">
        <f t="shared" ca="1" si="33"/>
        <v>3</v>
      </c>
      <c r="F294" s="10">
        <f t="shared" ca="1" si="34"/>
        <v>1</v>
      </c>
      <c r="G294" s="9">
        <f t="shared" ca="1" si="35"/>
        <v>0.11309849077282219</v>
      </c>
      <c r="H294" s="10">
        <f t="shared" ca="1" si="36"/>
        <v>8</v>
      </c>
    </row>
    <row r="295" spans="1:8">
      <c r="A295" s="8">
        <v>290</v>
      </c>
      <c r="B295" s="14">
        <f t="shared" ca="1" si="30"/>
        <v>0.80668172395499971</v>
      </c>
      <c r="C295" s="8" t="str">
        <f t="shared" ca="1" si="31"/>
        <v>Carrito</v>
      </c>
      <c r="D295" s="14">
        <f t="shared" ca="1" si="32"/>
        <v>0.59648776787864222</v>
      </c>
      <c r="E295" s="8">
        <f t="shared" ca="1" si="33"/>
        <v>3</v>
      </c>
      <c r="F295" s="8">
        <f t="shared" ca="1" si="34"/>
        <v>2</v>
      </c>
      <c r="G295" s="14">
        <f t="shared" ca="1" si="35"/>
        <v>0.51208911418588621</v>
      </c>
      <c r="H295" s="8">
        <f t="shared" ca="1" si="36"/>
        <v>12</v>
      </c>
    </row>
    <row r="296" spans="1:8">
      <c r="A296" s="8">
        <v>291</v>
      </c>
      <c r="B296" s="9">
        <f t="shared" ca="1" si="30"/>
        <v>0.7410884352022501</v>
      </c>
      <c r="C296" s="10" t="str">
        <f t="shared" ca="1" si="31"/>
        <v>Carrito</v>
      </c>
      <c r="D296" s="9">
        <f t="shared" ca="1" si="32"/>
        <v>0.81039898128904264</v>
      </c>
      <c r="E296" s="10">
        <f t="shared" ca="1" si="33"/>
        <v>5</v>
      </c>
      <c r="F296" s="10">
        <f t="shared" ca="1" si="34"/>
        <v>5</v>
      </c>
      <c r="G296" s="9">
        <f t="shared" ca="1" si="35"/>
        <v>0.9277113394405655</v>
      </c>
      <c r="H296" s="10">
        <f t="shared" ca="1" si="36"/>
        <v>17</v>
      </c>
    </row>
    <row r="297" spans="1:8">
      <c r="A297" s="8">
        <v>292</v>
      </c>
      <c r="B297" s="14">
        <f t="shared" ca="1" si="30"/>
        <v>0.25053031168695727</v>
      </c>
      <c r="C297" s="8" t="str">
        <f t="shared" ca="1" si="31"/>
        <v>Navegación</v>
      </c>
      <c r="D297" s="14">
        <f t="shared" ca="1" si="32"/>
        <v>0.87120431876342286</v>
      </c>
      <c r="E297" s="8">
        <f t="shared" ca="1" si="33"/>
        <v>5</v>
      </c>
      <c r="F297" s="8">
        <f t="shared" ca="1" si="34"/>
        <v>3</v>
      </c>
      <c r="G297" s="14">
        <f t="shared" ca="1" si="35"/>
        <v>8.7316742688506754E-2</v>
      </c>
      <c r="H297" s="8">
        <f t="shared" ca="1" si="36"/>
        <v>7</v>
      </c>
    </row>
    <row r="298" spans="1:8">
      <c r="A298" s="8">
        <v>293</v>
      </c>
      <c r="B298" s="9">
        <f t="shared" ca="1" si="30"/>
        <v>1.2086505540469861E-2</v>
      </c>
      <c r="C298" s="10" t="str">
        <f t="shared" ca="1" si="31"/>
        <v>Navegación</v>
      </c>
      <c r="D298" s="9">
        <f t="shared" ca="1" si="32"/>
        <v>0.45410470471310127</v>
      </c>
      <c r="E298" s="10">
        <f t="shared" ca="1" si="33"/>
        <v>3</v>
      </c>
      <c r="F298" s="10">
        <f t="shared" ca="1" si="34"/>
        <v>1</v>
      </c>
      <c r="G298" s="9">
        <f t="shared" ca="1" si="35"/>
        <v>0.68472457795298913</v>
      </c>
      <c r="H298" s="10">
        <f t="shared" ca="1" si="36"/>
        <v>14</v>
      </c>
    </row>
    <row r="299" spans="1:8">
      <c r="A299" s="8">
        <v>294</v>
      </c>
      <c r="B299" s="14">
        <f t="shared" ca="1" si="30"/>
        <v>4.3444121863920437E-2</v>
      </c>
      <c r="C299" s="8" t="str">
        <f t="shared" ca="1" si="31"/>
        <v>Navegación</v>
      </c>
      <c r="D299" s="14">
        <f t="shared" ca="1" si="32"/>
        <v>0.60928916044760828</v>
      </c>
      <c r="E299" s="8">
        <f t="shared" ca="1" si="33"/>
        <v>4</v>
      </c>
      <c r="F299" s="8">
        <f t="shared" ca="1" si="34"/>
        <v>5</v>
      </c>
      <c r="G299" s="14">
        <f t="shared" ca="1" si="35"/>
        <v>0.57784955318795761</v>
      </c>
      <c r="H299" s="8">
        <f t="shared" ca="1" si="36"/>
        <v>13</v>
      </c>
    </row>
    <row r="300" spans="1:8">
      <c r="A300" s="8">
        <v>295</v>
      </c>
      <c r="B300" s="9">
        <f t="shared" ca="1" si="30"/>
        <v>0.45808535870629641</v>
      </c>
      <c r="C300" s="10" t="str">
        <f t="shared" ca="1" si="31"/>
        <v>Navegación</v>
      </c>
      <c r="D300" s="9">
        <f t="shared" ca="1" si="32"/>
        <v>7.0788656987404219E-2</v>
      </c>
      <c r="E300" s="10">
        <f t="shared" ca="1" si="33"/>
        <v>1</v>
      </c>
      <c r="F300" s="10">
        <f t="shared" ca="1" si="34"/>
        <v>3</v>
      </c>
      <c r="G300" s="9">
        <f t="shared" ca="1" si="35"/>
        <v>0.99979472773448064</v>
      </c>
      <c r="H300" s="10">
        <f t="shared" ca="1" si="36"/>
        <v>26</v>
      </c>
    </row>
    <row r="301" spans="1:8">
      <c r="A301" s="8">
        <v>296</v>
      </c>
      <c r="B301" s="14">
        <f t="shared" ca="1" si="30"/>
        <v>0.79263955246706286</v>
      </c>
      <c r="C301" s="8" t="str">
        <f t="shared" ca="1" si="31"/>
        <v>Carrito</v>
      </c>
      <c r="D301" s="14">
        <f t="shared" ca="1" si="32"/>
        <v>0.4468850399999883</v>
      </c>
      <c r="E301" s="8">
        <f t="shared" ca="1" si="33"/>
        <v>3</v>
      </c>
      <c r="F301" s="8">
        <f t="shared" ca="1" si="34"/>
        <v>2</v>
      </c>
      <c r="G301" s="14">
        <f t="shared" ca="1" si="35"/>
        <v>0.72857478028115641</v>
      </c>
      <c r="H301" s="8">
        <f t="shared" ca="1" si="36"/>
        <v>14</v>
      </c>
    </row>
    <row r="302" spans="1:8">
      <c r="A302" s="8">
        <v>297</v>
      </c>
      <c r="B302" s="9">
        <f t="shared" ca="1" si="30"/>
        <v>0.2643689738232412</v>
      </c>
      <c r="C302" s="10" t="str">
        <f t="shared" ca="1" si="31"/>
        <v>Navegación</v>
      </c>
      <c r="D302" s="9">
        <f t="shared" ca="1" si="32"/>
        <v>0.16772464640055906</v>
      </c>
      <c r="E302" s="10">
        <f t="shared" ca="1" si="33"/>
        <v>1</v>
      </c>
      <c r="F302" s="10">
        <f t="shared" ca="1" si="34"/>
        <v>1</v>
      </c>
      <c r="G302" s="9">
        <f t="shared" ca="1" si="35"/>
        <v>0.12111523748828368</v>
      </c>
      <c r="H302" s="10">
        <f t="shared" ca="1" si="36"/>
        <v>8</v>
      </c>
    </row>
    <row r="303" spans="1:8">
      <c r="A303" s="8">
        <v>298</v>
      </c>
      <c r="B303" s="14">
        <f t="shared" ca="1" si="30"/>
        <v>0.40404063193352047</v>
      </c>
      <c r="C303" s="8" t="str">
        <f t="shared" ca="1" si="31"/>
        <v>Navegación</v>
      </c>
      <c r="D303" s="14">
        <f t="shared" ca="1" si="32"/>
        <v>0.52553604137391174</v>
      </c>
      <c r="E303" s="8">
        <f t="shared" ca="1" si="33"/>
        <v>3</v>
      </c>
      <c r="F303" s="8">
        <f t="shared" ca="1" si="34"/>
        <v>1</v>
      </c>
      <c r="G303" s="14">
        <f t="shared" ca="1" si="35"/>
        <v>0.64318939310927392</v>
      </c>
      <c r="H303" s="8">
        <f t="shared" ca="1" si="36"/>
        <v>13</v>
      </c>
    </row>
    <row r="304" spans="1:8">
      <c r="A304" s="8">
        <v>299</v>
      </c>
      <c r="B304" s="9">
        <f t="shared" ca="1" si="30"/>
        <v>0.9912224786706062</v>
      </c>
      <c r="C304" s="10" t="str">
        <f t="shared" ca="1" si="31"/>
        <v>Checkout</v>
      </c>
      <c r="D304" s="9">
        <f t="shared" ca="1" si="32"/>
        <v>0.26302287384523915</v>
      </c>
      <c r="E304" s="10">
        <f t="shared" ca="1" si="33"/>
        <v>2</v>
      </c>
      <c r="F304" s="10">
        <f t="shared" ca="1" si="34"/>
        <v>1</v>
      </c>
      <c r="G304" s="9">
        <f t="shared" ca="1" si="35"/>
        <v>3.7201879009525984E-2</v>
      </c>
      <c r="H304" s="10">
        <f t="shared" ca="1" si="36"/>
        <v>6</v>
      </c>
    </row>
    <row r="305" spans="1:8">
      <c r="A305" s="8">
        <v>300</v>
      </c>
      <c r="B305" s="14">
        <f t="shared" ca="1" si="30"/>
        <v>0.28588482278542859</v>
      </c>
      <c r="C305" s="8" t="str">
        <f t="shared" ca="1" si="31"/>
        <v>Navegación</v>
      </c>
      <c r="D305" s="14">
        <f t="shared" ca="1" si="32"/>
        <v>0.20969845467005688</v>
      </c>
      <c r="E305" s="8">
        <f t="shared" ca="1" si="33"/>
        <v>2</v>
      </c>
      <c r="F305" s="8">
        <f t="shared" ca="1" si="34"/>
        <v>2</v>
      </c>
      <c r="G305" s="14">
        <f t="shared" ca="1" si="35"/>
        <v>0.24804263469608856</v>
      </c>
      <c r="H305" s="8">
        <f t="shared" ca="1" si="36"/>
        <v>10</v>
      </c>
    </row>
    <row r="306" spans="1:8">
      <c r="A306" s="8">
        <v>301</v>
      </c>
      <c r="B306" s="9">
        <f t="shared" ca="1" si="30"/>
        <v>0.4559078978917166</v>
      </c>
      <c r="C306" s="10" t="str">
        <f t="shared" ca="1" si="31"/>
        <v>Navegación</v>
      </c>
      <c r="D306" s="9">
        <f t="shared" ca="1" si="32"/>
        <v>0.2464878569441169</v>
      </c>
      <c r="E306" s="10">
        <f t="shared" ca="1" si="33"/>
        <v>2</v>
      </c>
      <c r="F306" s="10">
        <f t="shared" ca="1" si="34"/>
        <v>4</v>
      </c>
      <c r="G306" s="9">
        <f t="shared" ca="1" si="35"/>
        <v>6.3030964874271511E-2</v>
      </c>
      <c r="H306" s="10">
        <f t="shared" ca="1" si="36"/>
        <v>7</v>
      </c>
    </row>
    <row r="307" spans="1:8">
      <c r="A307" s="8">
        <v>302</v>
      </c>
      <c r="B307" s="14">
        <f t="shared" ca="1" si="30"/>
        <v>0.4827919043857043</v>
      </c>
      <c r="C307" s="8" t="str">
        <f t="shared" ca="1" si="31"/>
        <v>Navegación</v>
      </c>
      <c r="D307" s="14">
        <f t="shared" ca="1" si="32"/>
        <v>0.23146314533791224</v>
      </c>
      <c r="E307" s="8">
        <f t="shared" ca="1" si="33"/>
        <v>2</v>
      </c>
      <c r="F307" s="8">
        <f t="shared" ca="1" si="34"/>
        <v>4</v>
      </c>
      <c r="G307" s="14">
        <f t="shared" ca="1" si="35"/>
        <v>0.78573431032737351</v>
      </c>
      <c r="H307" s="8">
        <f t="shared" ca="1" si="36"/>
        <v>15</v>
      </c>
    </row>
    <row r="308" spans="1:8">
      <c r="A308" s="8">
        <v>303</v>
      </c>
      <c r="B308" s="9">
        <f t="shared" ca="1" si="30"/>
        <v>0.50250137187884081</v>
      </c>
      <c r="C308" s="10" t="str">
        <f t="shared" ca="1" si="31"/>
        <v>Navegación</v>
      </c>
      <c r="D308" s="9">
        <f t="shared" ca="1" si="32"/>
        <v>9.4951912382655212E-2</v>
      </c>
      <c r="E308" s="10">
        <f t="shared" ca="1" si="33"/>
        <v>1</v>
      </c>
      <c r="F308" s="10">
        <f t="shared" ca="1" si="34"/>
        <v>1</v>
      </c>
      <c r="G308" s="9">
        <f t="shared" ca="1" si="35"/>
        <v>0.57782315746608859</v>
      </c>
      <c r="H308" s="10">
        <f t="shared" ca="1" si="36"/>
        <v>13</v>
      </c>
    </row>
    <row r="309" spans="1:8">
      <c r="A309" s="8">
        <v>304</v>
      </c>
      <c r="B309" s="14">
        <f t="shared" ca="1" si="30"/>
        <v>0.88438984200293935</v>
      </c>
      <c r="C309" s="8" t="str">
        <f t="shared" ca="1" si="31"/>
        <v>Checkout</v>
      </c>
      <c r="D309" s="14">
        <f t="shared" ca="1" si="32"/>
        <v>0.39990211390102615</v>
      </c>
      <c r="E309" s="8">
        <f t="shared" ca="1" si="33"/>
        <v>2</v>
      </c>
      <c r="F309" s="8">
        <f t="shared" ca="1" si="34"/>
        <v>2</v>
      </c>
      <c r="G309" s="14">
        <f t="shared" ca="1" si="35"/>
        <v>0.20749055867884059</v>
      </c>
      <c r="H309" s="8">
        <f t="shared" ca="1" si="36"/>
        <v>9</v>
      </c>
    </row>
    <row r="310" spans="1:8">
      <c r="A310" s="8">
        <v>305</v>
      </c>
      <c r="B310" s="9">
        <f t="shared" ca="1" si="30"/>
        <v>0.82979095216133592</v>
      </c>
      <c r="C310" s="10" t="str">
        <f t="shared" ca="1" si="31"/>
        <v>Carrito</v>
      </c>
      <c r="D310" s="9">
        <f t="shared" ca="1" si="32"/>
        <v>0.71553497186976589</v>
      </c>
      <c r="E310" s="10">
        <f t="shared" ca="1" si="33"/>
        <v>4</v>
      </c>
      <c r="F310" s="10">
        <f t="shared" ca="1" si="34"/>
        <v>5</v>
      </c>
      <c r="G310" s="9">
        <f t="shared" ca="1" si="35"/>
        <v>0.5717803787064184</v>
      </c>
      <c r="H310" s="10">
        <f t="shared" ca="1" si="36"/>
        <v>12</v>
      </c>
    </row>
    <row r="311" spans="1:8">
      <c r="A311" s="8">
        <v>306</v>
      </c>
      <c r="B311" s="14">
        <f t="shared" ca="1" si="30"/>
        <v>0.18953399107297553</v>
      </c>
      <c r="C311" s="8" t="str">
        <f t="shared" ca="1" si="31"/>
        <v>Navegación</v>
      </c>
      <c r="D311" s="14">
        <f t="shared" ca="1" si="32"/>
        <v>0.4113376654973343</v>
      </c>
      <c r="E311" s="8">
        <f t="shared" ca="1" si="33"/>
        <v>3</v>
      </c>
      <c r="F311" s="8">
        <f t="shared" ca="1" si="34"/>
        <v>5</v>
      </c>
      <c r="G311" s="14">
        <f t="shared" ca="1" si="35"/>
        <v>0.52362967768462343</v>
      </c>
      <c r="H311" s="8">
        <f t="shared" ca="1" si="36"/>
        <v>12</v>
      </c>
    </row>
    <row r="312" spans="1:8">
      <c r="A312" s="8">
        <v>307</v>
      </c>
      <c r="B312" s="9">
        <f t="shared" ca="1" si="30"/>
        <v>0.8128235470480758</v>
      </c>
      <c r="C312" s="10" t="str">
        <f t="shared" ca="1" si="31"/>
        <v>Carrito</v>
      </c>
      <c r="D312" s="9">
        <f t="shared" ca="1" si="32"/>
        <v>0.59491531655942509</v>
      </c>
      <c r="E312" s="10">
        <f t="shared" ca="1" si="33"/>
        <v>3</v>
      </c>
      <c r="F312" s="10">
        <f t="shared" ca="1" si="34"/>
        <v>5</v>
      </c>
      <c r="G312" s="9">
        <f t="shared" ca="1" si="35"/>
        <v>0.28641862882874269</v>
      </c>
      <c r="H312" s="10">
        <f t="shared" ca="1" si="36"/>
        <v>10</v>
      </c>
    </row>
    <row r="313" spans="1:8">
      <c r="A313" s="8">
        <v>308</v>
      </c>
      <c r="B313" s="14">
        <f t="shared" ca="1" si="30"/>
        <v>0.65531166994757628</v>
      </c>
      <c r="C313" s="8" t="str">
        <f t="shared" ca="1" si="31"/>
        <v>Carrito</v>
      </c>
      <c r="D313" s="14">
        <f t="shared" ca="1" si="32"/>
        <v>0.8608629853121369</v>
      </c>
      <c r="E313" s="8">
        <f t="shared" ca="1" si="33"/>
        <v>5</v>
      </c>
      <c r="F313" s="8">
        <f t="shared" ca="1" si="34"/>
        <v>1</v>
      </c>
      <c r="G313" s="14">
        <f t="shared" ca="1" si="35"/>
        <v>0.698495370075225</v>
      </c>
      <c r="H313" s="8">
        <f t="shared" ca="1" si="36"/>
        <v>14</v>
      </c>
    </row>
    <row r="314" spans="1:8">
      <c r="A314" s="8">
        <v>309</v>
      </c>
      <c r="B314" s="9">
        <f t="shared" ca="1" si="30"/>
        <v>0.38183682458924972</v>
      </c>
      <c r="C314" s="10" t="str">
        <f t="shared" ca="1" si="31"/>
        <v>Navegación</v>
      </c>
      <c r="D314" s="9">
        <f t="shared" ca="1" si="32"/>
        <v>0.70200979190630131</v>
      </c>
      <c r="E314" s="10">
        <f t="shared" ca="1" si="33"/>
        <v>4</v>
      </c>
      <c r="F314" s="10">
        <f t="shared" ca="1" si="34"/>
        <v>2</v>
      </c>
      <c r="G314" s="9">
        <f t="shared" ca="1" si="35"/>
        <v>0.38946410516501739</v>
      </c>
      <c r="H314" s="10">
        <f t="shared" ca="1" si="36"/>
        <v>11</v>
      </c>
    </row>
    <row r="315" spans="1:8">
      <c r="A315" s="8">
        <v>310</v>
      </c>
      <c r="B315" s="14">
        <f t="shared" ca="1" si="30"/>
        <v>0.10317306202743914</v>
      </c>
      <c r="C315" s="8" t="str">
        <f t="shared" ca="1" si="31"/>
        <v>Navegación</v>
      </c>
      <c r="D315" s="14">
        <f t="shared" ca="1" si="32"/>
        <v>0.27501394197606244</v>
      </c>
      <c r="E315" s="8">
        <f t="shared" ca="1" si="33"/>
        <v>2</v>
      </c>
      <c r="F315" s="8">
        <f t="shared" ca="1" si="34"/>
        <v>1</v>
      </c>
      <c r="G315" s="14">
        <f t="shared" ca="1" si="35"/>
        <v>0.49044064126623343</v>
      </c>
      <c r="H315" s="8">
        <f t="shared" ca="1" si="36"/>
        <v>12</v>
      </c>
    </row>
    <row r="316" spans="1:8">
      <c r="A316" s="8">
        <v>311</v>
      </c>
      <c r="B316" s="9">
        <f t="shared" ca="1" si="30"/>
        <v>0.68144341254184226</v>
      </c>
      <c r="C316" s="10" t="str">
        <f t="shared" ca="1" si="31"/>
        <v>Carrito</v>
      </c>
      <c r="D316" s="9">
        <f t="shared" ca="1" si="32"/>
        <v>3.2713775724358296E-2</v>
      </c>
      <c r="E316" s="10">
        <f t="shared" ca="1" si="33"/>
        <v>1</v>
      </c>
      <c r="F316" s="10">
        <f t="shared" ca="1" si="34"/>
        <v>3</v>
      </c>
      <c r="G316" s="9">
        <f t="shared" ca="1" si="35"/>
        <v>0.98601104367969483</v>
      </c>
      <c r="H316" s="10">
        <f t="shared" ca="1" si="36"/>
        <v>20</v>
      </c>
    </row>
    <row r="317" spans="1:8">
      <c r="A317" s="8">
        <v>312</v>
      </c>
      <c r="B317" s="14">
        <f t="shared" ca="1" si="30"/>
        <v>0.20196065224548665</v>
      </c>
      <c r="C317" s="8" t="str">
        <f t="shared" ca="1" si="31"/>
        <v>Navegación</v>
      </c>
      <c r="D317" s="14">
        <f t="shared" ca="1" si="32"/>
        <v>0.66692986153097689</v>
      </c>
      <c r="E317" s="8">
        <f t="shared" ca="1" si="33"/>
        <v>4</v>
      </c>
      <c r="F317" s="8">
        <f t="shared" ca="1" si="34"/>
        <v>3</v>
      </c>
      <c r="G317" s="14">
        <f t="shared" ca="1" si="35"/>
        <v>0.46190804496211935</v>
      </c>
      <c r="H317" s="8">
        <f t="shared" ca="1" si="36"/>
        <v>12</v>
      </c>
    </row>
    <row r="318" spans="1:8">
      <c r="A318" s="8">
        <v>313</v>
      </c>
      <c r="B318" s="9">
        <f t="shared" ca="1" si="30"/>
        <v>5.159957577548302E-2</v>
      </c>
      <c r="C318" s="10" t="str">
        <f t="shared" ca="1" si="31"/>
        <v>Navegación</v>
      </c>
      <c r="D318" s="9">
        <f t="shared" ca="1" si="32"/>
        <v>0.49782640108313658</v>
      </c>
      <c r="E318" s="10">
        <f t="shared" ca="1" si="33"/>
        <v>3</v>
      </c>
      <c r="F318" s="10">
        <f t="shared" ca="1" si="34"/>
        <v>5</v>
      </c>
      <c r="G318" s="9">
        <f t="shared" ca="1" si="35"/>
        <v>0.20234584275718759</v>
      </c>
      <c r="H318" s="10">
        <f t="shared" ca="1" si="36"/>
        <v>9</v>
      </c>
    </row>
    <row r="319" spans="1:8">
      <c r="A319" s="8">
        <v>314</v>
      </c>
      <c r="B319" s="14">
        <f t="shared" ca="1" si="30"/>
        <v>0.6513055702471755</v>
      </c>
      <c r="C319" s="8" t="str">
        <f t="shared" ca="1" si="31"/>
        <v>Carrito</v>
      </c>
      <c r="D319" s="14">
        <f t="shared" ca="1" si="32"/>
        <v>0.89557994715698597</v>
      </c>
      <c r="E319" s="8">
        <f t="shared" ca="1" si="33"/>
        <v>5</v>
      </c>
      <c r="F319" s="8">
        <f t="shared" ca="1" si="34"/>
        <v>4</v>
      </c>
      <c r="G319" s="14">
        <f t="shared" ca="1" si="35"/>
        <v>0.23893386723126997</v>
      </c>
      <c r="H319" s="8">
        <f t="shared" ca="1" si="36"/>
        <v>9</v>
      </c>
    </row>
    <row r="320" spans="1:8">
      <c r="A320" s="8">
        <v>315</v>
      </c>
      <c r="B320" s="9">
        <f t="shared" ca="1" si="30"/>
        <v>0.66422303683722961</v>
      </c>
      <c r="C320" s="10" t="str">
        <f t="shared" ca="1" si="31"/>
        <v>Carrito</v>
      </c>
      <c r="D320" s="9">
        <f t="shared" ca="1" si="32"/>
        <v>0.97499043721976408</v>
      </c>
      <c r="E320" s="10">
        <f t="shared" ca="1" si="33"/>
        <v>5</v>
      </c>
      <c r="F320" s="10">
        <f t="shared" ca="1" si="34"/>
        <v>3</v>
      </c>
      <c r="G320" s="9">
        <f t="shared" ca="1" si="35"/>
        <v>0.13142093740717276</v>
      </c>
      <c r="H320" s="10">
        <f t="shared" ca="1" si="36"/>
        <v>8</v>
      </c>
    </row>
    <row r="321" spans="1:8">
      <c r="A321" s="8">
        <v>316</v>
      </c>
      <c r="B321" s="14">
        <f t="shared" ca="1" si="30"/>
        <v>0.48017026535944229</v>
      </c>
      <c r="C321" s="8" t="str">
        <f t="shared" ca="1" si="31"/>
        <v>Navegación</v>
      </c>
      <c r="D321" s="14">
        <f t="shared" ca="1" si="32"/>
        <v>0.65651795453261852</v>
      </c>
      <c r="E321" s="8">
        <f t="shared" ca="1" si="33"/>
        <v>4</v>
      </c>
      <c r="F321" s="8">
        <f t="shared" ca="1" si="34"/>
        <v>4</v>
      </c>
      <c r="G321" s="14">
        <f t="shared" ca="1" si="35"/>
        <v>0.80331532079956891</v>
      </c>
      <c r="H321" s="8">
        <f t="shared" ca="1" si="36"/>
        <v>15</v>
      </c>
    </row>
    <row r="322" spans="1:8">
      <c r="A322" s="8">
        <v>317</v>
      </c>
      <c r="B322" s="9">
        <f t="shared" ca="1" si="30"/>
        <v>0.82068967295489681</v>
      </c>
      <c r="C322" s="10" t="str">
        <f t="shared" ca="1" si="31"/>
        <v>Carrito</v>
      </c>
      <c r="D322" s="9">
        <f t="shared" ca="1" si="32"/>
        <v>0.66965884728786285</v>
      </c>
      <c r="E322" s="10">
        <f t="shared" ca="1" si="33"/>
        <v>4</v>
      </c>
      <c r="F322" s="10">
        <f t="shared" ca="1" si="34"/>
        <v>1</v>
      </c>
      <c r="G322" s="9">
        <f t="shared" ca="1" si="35"/>
        <v>0.26041297684734632</v>
      </c>
      <c r="H322" s="10">
        <f t="shared" ca="1" si="36"/>
        <v>10</v>
      </c>
    </row>
    <row r="323" spans="1:8">
      <c r="A323" s="8">
        <v>318</v>
      </c>
      <c r="B323" s="14">
        <f t="shared" ca="1" si="30"/>
        <v>0.92121214707846533</v>
      </c>
      <c r="C323" s="8" t="str">
        <f t="shared" ca="1" si="31"/>
        <v>Checkout</v>
      </c>
      <c r="D323" s="14">
        <f t="shared" ca="1" si="32"/>
        <v>0.84552750743212624</v>
      </c>
      <c r="E323" s="8">
        <f t="shared" ca="1" si="33"/>
        <v>5</v>
      </c>
      <c r="F323" s="8">
        <f t="shared" ca="1" si="34"/>
        <v>5</v>
      </c>
      <c r="G323" s="14">
        <f t="shared" ca="1" si="35"/>
        <v>0.49333839825276793</v>
      </c>
      <c r="H323" s="8">
        <f t="shared" ca="1" si="36"/>
        <v>12</v>
      </c>
    </row>
    <row r="324" spans="1:8">
      <c r="A324" s="8">
        <v>319</v>
      </c>
      <c r="B324" s="9">
        <f t="shared" ca="1" si="30"/>
        <v>0.31152000987957362</v>
      </c>
      <c r="C324" s="10" t="str">
        <f t="shared" ca="1" si="31"/>
        <v>Navegación</v>
      </c>
      <c r="D324" s="9">
        <f t="shared" ca="1" si="32"/>
        <v>1.6782351034744125E-2</v>
      </c>
      <c r="E324" s="10">
        <f t="shared" ca="1" si="33"/>
        <v>1</v>
      </c>
      <c r="F324" s="10">
        <f t="shared" ca="1" si="34"/>
        <v>1</v>
      </c>
      <c r="G324" s="9">
        <f t="shared" ca="1" si="35"/>
        <v>0.64447954720705813</v>
      </c>
      <c r="H324" s="10">
        <f t="shared" ca="1" si="36"/>
        <v>13</v>
      </c>
    </row>
    <row r="325" spans="1:8">
      <c r="A325" s="8">
        <v>320</v>
      </c>
      <c r="B325" s="14">
        <f t="shared" ca="1" si="30"/>
        <v>0.8077250345542426</v>
      </c>
      <c r="C325" s="8" t="str">
        <f t="shared" ca="1" si="31"/>
        <v>Carrito</v>
      </c>
      <c r="D325" s="14">
        <f t="shared" ca="1" si="32"/>
        <v>0.46673239264454613</v>
      </c>
      <c r="E325" s="8">
        <f t="shared" ca="1" si="33"/>
        <v>3</v>
      </c>
      <c r="F325" s="8">
        <f t="shared" ca="1" si="34"/>
        <v>5</v>
      </c>
      <c r="G325" s="14">
        <f t="shared" ca="1" si="35"/>
        <v>0.48331477871674566</v>
      </c>
      <c r="H325" s="8">
        <f t="shared" ca="1" si="36"/>
        <v>12</v>
      </c>
    </row>
    <row r="326" spans="1:8">
      <c r="A326" s="8">
        <v>321</v>
      </c>
      <c r="B326" s="9">
        <f t="shared" ref="B326:B389" ca="1" si="37">RAND()</f>
        <v>0.45451180810567937</v>
      </c>
      <c r="C326" s="10" t="str">
        <f t="shared" ref="C326:C389" ca="1" si="38">VLOOKUP(B326, $J$6:$K$8, 2, TRUE)</f>
        <v>Navegación</v>
      </c>
      <c r="D326" s="9">
        <f t="shared" ref="D326:D389" ca="1" si="39">RAND()</f>
        <v>7.7461116335712732E-2</v>
      </c>
      <c r="E326" s="10">
        <f t="shared" ref="E326:E389" ca="1" si="40">INT(D326*($O$7-$O$6+1))+$O$6</f>
        <v>1</v>
      </c>
      <c r="F326" s="10">
        <f t="shared" ref="F326:F389" ca="1" si="41">RANDBETWEEN($O$6, $O$7)</f>
        <v>5</v>
      </c>
      <c r="G326" s="9">
        <f t="shared" ref="G326:G389" ca="1" si="42">RAND()</f>
        <v>0.12800501553308452</v>
      </c>
      <c r="H326" s="10">
        <f t="shared" ref="H326:H389" ca="1" si="43">VLOOKUP(G326, $W$5:$X$39, 2, TRUE)</f>
        <v>8</v>
      </c>
    </row>
    <row r="327" spans="1:8">
      <c r="A327" s="8">
        <v>322</v>
      </c>
      <c r="B327" s="14">
        <f t="shared" ca="1" si="37"/>
        <v>0.12671801367701108</v>
      </c>
      <c r="C327" s="8" t="str">
        <f t="shared" ca="1" si="38"/>
        <v>Navegación</v>
      </c>
      <c r="D327" s="14">
        <f t="shared" ca="1" si="39"/>
        <v>0.81645429139230652</v>
      </c>
      <c r="E327" s="8">
        <f t="shared" ca="1" si="40"/>
        <v>5</v>
      </c>
      <c r="F327" s="8">
        <f t="shared" ca="1" si="41"/>
        <v>5</v>
      </c>
      <c r="G327" s="14">
        <f t="shared" ca="1" si="42"/>
        <v>0.53657352622207544</v>
      </c>
      <c r="H327" s="8">
        <f t="shared" ca="1" si="43"/>
        <v>12</v>
      </c>
    </row>
    <row r="328" spans="1:8">
      <c r="A328" s="8">
        <v>323</v>
      </c>
      <c r="B328" s="9">
        <f t="shared" ca="1" si="37"/>
        <v>0.42212043902414342</v>
      </c>
      <c r="C328" s="10" t="str">
        <f t="shared" ca="1" si="38"/>
        <v>Navegación</v>
      </c>
      <c r="D328" s="9">
        <f t="shared" ca="1" si="39"/>
        <v>0.82303982185460722</v>
      </c>
      <c r="E328" s="10">
        <f t="shared" ca="1" si="40"/>
        <v>5</v>
      </c>
      <c r="F328" s="10">
        <f t="shared" ca="1" si="41"/>
        <v>3</v>
      </c>
      <c r="G328" s="9">
        <f t="shared" ca="1" si="42"/>
        <v>0.64047091830218139</v>
      </c>
      <c r="H328" s="10">
        <f t="shared" ca="1" si="43"/>
        <v>13</v>
      </c>
    </row>
    <row r="329" spans="1:8">
      <c r="A329" s="8">
        <v>324</v>
      </c>
      <c r="B329" s="14">
        <f t="shared" ca="1" si="37"/>
        <v>0.71721681227963052</v>
      </c>
      <c r="C329" s="8" t="str">
        <f t="shared" ca="1" si="38"/>
        <v>Carrito</v>
      </c>
      <c r="D329" s="14">
        <f t="shared" ca="1" si="39"/>
        <v>5.8781251627223585E-2</v>
      </c>
      <c r="E329" s="8">
        <f t="shared" ca="1" si="40"/>
        <v>1</v>
      </c>
      <c r="F329" s="8">
        <f t="shared" ca="1" si="41"/>
        <v>4</v>
      </c>
      <c r="G329" s="14">
        <f t="shared" ca="1" si="42"/>
        <v>0.7688199042958892</v>
      </c>
      <c r="H329" s="8">
        <f t="shared" ca="1" si="43"/>
        <v>14</v>
      </c>
    </row>
    <row r="330" spans="1:8">
      <c r="A330" s="8">
        <v>325</v>
      </c>
      <c r="B330" s="9">
        <f t="shared" ca="1" si="37"/>
        <v>0.82318275020630771</v>
      </c>
      <c r="C330" s="10" t="str">
        <f t="shared" ca="1" si="38"/>
        <v>Carrito</v>
      </c>
      <c r="D330" s="9">
        <f t="shared" ca="1" si="39"/>
        <v>0.17331898426420866</v>
      </c>
      <c r="E330" s="10">
        <f t="shared" ca="1" si="40"/>
        <v>1</v>
      </c>
      <c r="F330" s="10">
        <f t="shared" ca="1" si="41"/>
        <v>5</v>
      </c>
      <c r="G330" s="9">
        <f t="shared" ca="1" si="42"/>
        <v>0.77843983309117637</v>
      </c>
      <c r="H330" s="10">
        <f t="shared" ca="1" si="43"/>
        <v>15</v>
      </c>
    </row>
    <row r="331" spans="1:8">
      <c r="A331" s="8">
        <v>326</v>
      </c>
      <c r="B331" s="14">
        <f t="shared" ca="1" si="37"/>
        <v>0.14934831742576393</v>
      </c>
      <c r="C331" s="8" t="str">
        <f t="shared" ca="1" si="38"/>
        <v>Navegación</v>
      </c>
      <c r="D331" s="14">
        <f t="shared" ca="1" si="39"/>
        <v>0.72287878844191777</v>
      </c>
      <c r="E331" s="8">
        <f t="shared" ca="1" si="40"/>
        <v>4</v>
      </c>
      <c r="F331" s="8">
        <f t="shared" ca="1" si="41"/>
        <v>3</v>
      </c>
      <c r="G331" s="14">
        <f t="shared" ca="1" si="42"/>
        <v>0.35713351977154228</v>
      </c>
      <c r="H331" s="8">
        <f t="shared" ca="1" si="43"/>
        <v>11</v>
      </c>
    </row>
    <row r="332" spans="1:8">
      <c r="A332" s="8">
        <v>327</v>
      </c>
      <c r="B332" s="9">
        <f t="shared" ca="1" si="37"/>
        <v>0.59917280772551063</v>
      </c>
      <c r="C332" s="10" t="str">
        <f t="shared" ca="1" si="38"/>
        <v>Carrito</v>
      </c>
      <c r="D332" s="9">
        <f t="shared" ca="1" si="39"/>
        <v>0.46612325693844603</v>
      </c>
      <c r="E332" s="10">
        <f t="shared" ca="1" si="40"/>
        <v>3</v>
      </c>
      <c r="F332" s="10">
        <f t="shared" ca="1" si="41"/>
        <v>1</v>
      </c>
      <c r="G332" s="9">
        <f t="shared" ca="1" si="42"/>
        <v>0.49158826731408733</v>
      </c>
      <c r="H332" s="10">
        <f t="shared" ca="1" si="43"/>
        <v>12</v>
      </c>
    </row>
    <row r="333" spans="1:8">
      <c r="A333" s="8">
        <v>328</v>
      </c>
      <c r="B333" s="14">
        <f t="shared" ca="1" si="37"/>
        <v>0.204362056885384</v>
      </c>
      <c r="C333" s="8" t="str">
        <f t="shared" ca="1" si="38"/>
        <v>Navegación</v>
      </c>
      <c r="D333" s="14">
        <f t="shared" ca="1" si="39"/>
        <v>0.9478263489139902</v>
      </c>
      <c r="E333" s="8">
        <f t="shared" ca="1" si="40"/>
        <v>5</v>
      </c>
      <c r="F333" s="8">
        <f t="shared" ca="1" si="41"/>
        <v>5</v>
      </c>
      <c r="G333" s="14">
        <f t="shared" ca="1" si="42"/>
        <v>0.95576612235605696</v>
      </c>
      <c r="H333" s="8">
        <f t="shared" ca="1" si="43"/>
        <v>18</v>
      </c>
    </row>
    <row r="334" spans="1:8">
      <c r="A334" s="8">
        <v>329</v>
      </c>
      <c r="B334" s="9">
        <f t="shared" ca="1" si="37"/>
        <v>0.6297360264244084</v>
      </c>
      <c r="C334" s="10" t="str">
        <f t="shared" ca="1" si="38"/>
        <v>Carrito</v>
      </c>
      <c r="D334" s="9">
        <f t="shared" ca="1" si="39"/>
        <v>0.42873676318116216</v>
      </c>
      <c r="E334" s="10">
        <f t="shared" ca="1" si="40"/>
        <v>3</v>
      </c>
      <c r="F334" s="10">
        <f t="shared" ca="1" si="41"/>
        <v>4</v>
      </c>
      <c r="G334" s="9">
        <f t="shared" ca="1" si="42"/>
        <v>0.61598828265261474</v>
      </c>
      <c r="H334" s="10">
        <f t="shared" ca="1" si="43"/>
        <v>13</v>
      </c>
    </row>
    <row r="335" spans="1:8">
      <c r="A335" s="8">
        <v>330</v>
      </c>
      <c r="B335" s="14">
        <f t="shared" ca="1" si="37"/>
        <v>0.20015149806265142</v>
      </c>
      <c r="C335" s="8" t="str">
        <f t="shared" ca="1" si="38"/>
        <v>Navegación</v>
      </c>
      <c r="D335" s="14">
        <f t="shared" ca="1" si="39"/>
        <v>0.53679825326852304</v>
      </c>
      <c r="E335" s="8">
        <f t="shared" ca="1" si="40"/>
        <v>3</v>
      </c>
      <c r="F335" s="8">
        <f t="shared" ca="1" si="41"/>
        <v>4</v>
      </c>
      <c r="G335" s="14">
        <f t="shared" ca="1" si="42"/>
        <v>0.90907774733611868</v>
      </c>
      <c r="H335" s="8">
        <f t="shared" ca="1" si="43"/>
        <v>17</v>
      </c>
    </row>
    <row r="336" spans="1:8">
      <c r="A336" s="8">
        <v>331</v>
      </c>
      <c r="B336" s="9">
        <f t="shared" ca="1" si="37"/>
        <v>0.36881455915866213</v>
      </c>
      <c r="C336" s="10" t="str">
        <f t="shared" ca="1" si="38"/>
        <v>Navegación</v>
      </c>
      <c r="D336" s="9">
        <f t="shared" ca="1" si="39"/>
        <v>0.73579901943708892</v>
      </c>
      <c r="E336" s="10">
        <f t="shared" ca="1" si="40"/>
        <v>4</v>
      </c>
      <c r="F336" s="10">
        <f t="shared" ca="1" si="41"/>
        <v>5</v>
      </c>
      <c r="G336" s="9">
        <f t="shared" ca="1" si="42"/>
        <v>0.6691033083250324</v>
      </c>
      <c r="H336" s="10">
        <f t="shared" ca="1" si="43"/>
        <v>13</v>
      </c>
    </row>
    <row r="337" spans="1:8">
      <c r="A337" s="8">
        <v>332</v>
      </c>
      <c r="B337" s="14">
        <f t="shared" ca="1" si="37"/>
        <v>0.24109206917011927</v>
      </c>
      <c r="C337" s="8" t="str">
        <f t="shared" ca="1" si="38"/>
        <v>Navegación</v>
      </c>
      <c r="D337" s="14">
        <f t="shared" ca="1" si="39"/>
        <v>0.40071992450418426</v>
      </c>
      <c r="E337" s="8">
        <f t="shared" ca="1" si="40"/>
        <v>3</v>
      </c>
      <c r="F337" s="8">
        <f t="shared" ca="1" si="41"/>
        <v>4</v>
      </c>
      <c r="G337" s="14">
        <f t="shared" ca="1" si="42"/>
        <v>0.37179522268209597</v>
      </c>
      <c r="H337" s="8">
        <f t="shared" ca="1" si="43"/>
        <v>11</v>
      </c>
    </row>
    <row r="338" spans="1:8">
      <c r="A338" s="8">
        <v>333</v>
      </c>
      <c r="B338" s="9">
        <f t="shared" ca="1" si="37"/>
        <v>0.30762123665652619</v>
      </c>
      <c r="C338" s="10" t="str">
        <f t="shared" ca="1" si="38"/>
        <v>Navegación</v>
      </c>
      <c r="D338" s="9">
        <f t="shared" ca="1" si="39"/>
        <v>0.43037856819799636</v>
      </c>
      <c r="E338" s="10">
        <f t="shared" ca="1" si="40"/>
        <v>3</v>
      </c>
      <c r="F338" s="10">
        <f t="shared" ca="1" si="41"/>
        <v>4</v>
      </c>
      <c r="G338" s="9">
        <f t="shared" ca="1" si="42"/>
        <v>0.16359904246232426</v>
      </c>
      <c r="H338" s="10">
        <f t="shared" ca="1" si="43"/>
        <v>9</v>
      </c>
    </row>
    <row r="339" spans="1:8">
      <c r="A339" s="8">
        <v>334</v>
      </c>
      <c r="B339" s="14">
        <f t="shared" ca="1" si="37"/>
        <v>0.52738387645788121</v>
      </c>
      <c r="C339" s="8" t="str">
        <f t="shared" ca="1" si="38"/>
        <v>Navegación</v>
      </c>
      <c r="D339" s="14">
        <f t="shared" ca="1" si="39"/>
        <v>0.19264378052985864</v>
      </c>
      <c r="E339" s="8">
        <f t="shared" ca="1" si="40"/>
        <v>1</v>
      </c>
      <c r="F339" s="8">
        <f t="shared" ca="1" si="41"/>
        <v>3</v>
      </c>
      <c r="G339" s="14">
        <f t="shared" ca="1" si="42"/>
        <v>0.98616690639006832</v>
      </c>
      <c r="H339" s="8">
        <f t="shared" ca="1" si="43"/>
        <v>20</v>
      </c>
    </row>
    <row r="340" spans="1:8">
      <c r="A340" s="8">
        <v>335</v>
      </c>
      <c r="B340" s="9">
        <f t="shared" ca="1" si="37"/>
        <v>0.94773190560188258</v>
      </c>
      <c r="C340" s="10" t="str">
        <f t="shared" ca="1" si="38"/>
        <v>Checkout</v>
      </c>
      <c r="D340" s="9">
        <f t="shared" ca="1" si="39"/>
        <v>0.22447355827932913</v>
      </c>
      <c r="E340" s="10">
        <f t="shared" ca="1" si="40"/>
        <v>2</v>
      </c>
      <c r="F340" s="10">
        <f t="shared" ca="1" si="41"/>
        <v>1</v>
      </c>
      <c r="G340" s="9">
        <f t="shared" ca="1" si="42"/>
        <v>0.57706279390695092</v>
      </c>
      <c r="H340" s="10">
        <f t="shared" ca="1" si="43"/>
        <v>13</v>
      </c>
    </row>
    <row r="341" spans="1:8">
      <c r="A341" s="8">
        <v>336</v>
      </c>
      <c r="B341" s="14">
        <f t="shared" ca="1" si="37"/>
        <v>0.5891285622972886</v>
      </c>
      <c r="C341" s="8" t="str">
        <f t="shared" ca="1" si="38"/>
        <v>Carrito</v>
      </c>
      <c r="D341" s="14">
        <f t="shared" ca="1" si="39"/>
        <v>0.17842099648907639</v>
      </c>
      <c r="E341" s="8">
        <f t="shared" ca="1" si="40"/>
        <v>1</v>
      </c>
      <c r="F341" s="8">
        <f t="shared" ca="1" si="41"/>
        <v>3</v>
      </c>
      <c r="G341" s="14">
        <f t="shared" ca="1" si="42"/>
        <v>0.90189196353166878</v>
      </c>
      <c r="H341" s="8">
        <f t="shared" ca="1" si="43"/>
        <v>17</v>
      </c>
    </row>
    <row r="342" spans="1:8">
      <c r="A342" s="8">
        <v>337</v>
      </c>
      <c r="B342" s="9">
        <f t="shared" ca="1" si="37"/>
        <v>0.34420192572502495</v>
      </c>
      <c r="C342" s="10" t="str">
        <f t="shared" ca="1" si="38"/>
        <v>Navegación</v>
      </c>
      <c r="D342" s="9">
        <f t="shared" ca="1" si="39"/>
        <v>0.91822731040695971</v>
      </c>
      <c r="E342" s="10">
        <f t="shared" ca="1" si="40"/>
        <v>5</v>
      </c>
      <c r="F342" s="10">
        <f t="shared" ca="1" si="41"/>
        <v>3</v>
      </c>
      <c r="G342" s="9">
        <f t="shared" ca="1" si="42"/>
        <v>2.5176790368266588E-2</v>
      </c>
      <c r="H342" s="10">
        <f t="shared" ca="1" si="43"/>
        <v>6</v>
      </c>
    </row>
    <row r="343" spans="1:8">
      <c r="A343" s="8">
        <v>338</v>
      </c>
      <c r="B343" s="14">
        <f t="shared" ca="1" si="37"/>
        <v>0.48528380145142913</v>
      </c>
      <c r="C343" s="8" t="str">
        <f t="shared" ca="1" si="38"/>
        <v>Navegación</v>
      </c>
      <c r="D343" s="14">
        <f t="shared" ca="1" si="39"/>
        <v>2.5736609979577607E-2</v>
      </c>
      <c r="E343" s="8">
        <f t="shared" ca="1" si="40"/>
        <v>1</v>
      </c>
      <c r="F343" s="8">
        <f t="shared" ca="1" si="41"/>
        <v>1</v>
      </c>
      <c r="G343" s="14">
        <f t="shared" ca="1" si="42"/>
        <v>0.50654345807774603</v>
      </c>
      <c r="H343" s="8">
        <f t="shared" ca="1" si="43"/>
        <v>12</v>
      </c>
    </row>
    <row r="344" spans="1:8">
      <c r="A344" s="8">
        <v>339</v>
      </c>
      <c r="B344" s="9">
        <f t="shared" ca="1" si="37"/>
        <v>0.31635186734918463</v>
      </c>
      <c r="C344" s="10" t="str">
        <f t="shared" ca="1" si="38"/>
        <v>Navegación</v>
      </c>
      <c r="D344" s="9">
        <f t="shared" ca="1" si="39"/>
        <v>0.45048295881292832</v>
      </c>
      <c r="E344" s="10">
        <f t="shared" ca="1" si="40"/>
        <v>3</v>
      </c>
      <c r="F344" s="10">
        <f t="shared" ca="1" si="41"/>
        <v>2</v>
      </c>
      <c r="G344" s="9">
        <f t="shared" ca="1" si="42"/>
        <v>7.996551034276167E-2</v>
      </c>
      <c r="H344" s="10">
        <f t="shared" ca="1" si="43"/>
        <v>7</v>
      </c>
    </row>
    <row r="345" spans="1:8">
      <c r="A345" s="8">
        <v>340</v>
      </c>
      <c r="B345" s="14">
        <f t="shared" ca="1" si="37"/>
        <v>0.59180774764224664</v>
      </c>
      <c r="C345" s="8" t="str">
        <f t="shared" ca="1" si="38"/>
        <v>Carrito</v>
      </c>
      <c r="D345" s="14">
        <f t="shared" ca="1" si="39"/>
        <v>0.68466456428325584</v>
      </c>
      <c r="E345" s="8">
        <f t="shared" ca="1" si="40"/>
        <v>4</v>
      </c>
      <c r="F345" s="8">
        <f t="shared" ca="1" si="41"/>
        <v>4</v>
      </c>
      <c r="G345" s="14">
        <f t="shared" ca="1" si="42"/>
        <v>0.4387941338416893</v>
      </c>
      <c r="H345" s="8">
        <f t="shared" ca="1" si="43"/>
        <v>11</v>
      </c>
    </row>
    <row r="346" spans="1:8">
      <c r="A346" s="8">
        <v>341</v>
      </c>
      <c r="B346" s="9">
        <f t="shared" ca="1" si="37"/>
        <v>0.34094326060194458</v>
      </c>
      <c r="C346" s="10" t="str">
        <f t="shared" ca="1" si="38"/>
        <v>Navegación</v>
      </c>
      <c r="D346" s="9">
        <f t="shared" ca="1" si="39"/>
        <v>0.25310052221889912</v>
      </c>
      <c r="E346" s="10">
        <f t="shared" ca="1" si="40"/>
        <v>2</v>
      </c>
      <c r="F346" s="10">
        <f t="shared" ca="1" si="41"/>
        <v>3</v>
      </c>
      <c r="G346" s="9">
        <f t="shared" ca="1" si="42"/>
        <v>0.6018586701876566</v>
      </c>
      <c r="H346" s="10">
        <f t="shared" ca="1" si="43"/>
        <v>13</v>
      </c>
    </row>
    <row r="347" spans="1:8">
      <c r="A347" s="8">
        <v>342</v>
      </c>
      <c r="B347" s="14">
        <f t="shared" ca="1" si="37"/>
        <v>0.45213447030974818</v>
      </c>
      <c r="C347" s="8" t="str">
        <f t="shared" ca="1" si="38"/>
        <v>Navegación</v>
      </c>
      <c r="D347" s="14">
        <f t="shared" ca="1" si="39"/>
        <v>0.64787147881981377</v>
      </c>
      <c r="E347" s="8">
        <f t="shared" ca="1" si="40"/>
        <v>4</v>
      </c>
      <c r="F347" s="8">
        <f t="shared" ca="1" si="41"/>
        <v>4</v>
      </c>
      <c r="G347" s="14">
        <f t="shared" ca="1" si="42"/>
        <v>4.1860713928933091E-2</v>
      </c>
      <c r="H347" s="8">
        <f t="shared" ca="1" si="43"/>
        <v>6</v>
      </c>
    </row>
    <row r="348" spans="1:8">
      <c r="A348" s="8">
        <v>343</v>
      </c>
      <c r="B348" s="9">
        <f t="shared" ca="1" si="37"/>
        <v>0.46484411405334514</v>
      </c>
      <c r="C348" s="10" t="str">
        <f t="shared" ca="1" si="38"/>
        <v>Navegación</v>
      </c>
      <c r="D348" s="9">
        <f t="shared" ca="1" si="39"/>
        <v>0.48712285175243963</v>
      </c>
      <c r="E348" s="10">
        <f t="shared" ca="1" si="40"/>
        <v>3</v>
      </c>
      <c r="F348" s="10">
        <f t="shared" ca="1" si="41"/>
        <v>4</v>
      </c>
      <c r="G348" s="9">
        <f t="shared" ca="1" si="42"/>
        <v>0.55824530891226631</v>
      </c>
      <c r="H348" s="10">
        <f t="shared" ca="1" si="43"/>
        <v>12</v>
      </c>
    </row>
    <row r="349" spans="1:8">
      <c r="A349" s="8">
        <v>344</v>
      </c>
      <c r="B349" s="14">
        <f t="shared" ca="1" si="37"/>
        <v>0.76681939173890523</v>
      </c>
      <c r="C349" s="8" t="str">
        <f t="shared" ca="1" si="38"/>
        <v>Carrito</v>
      </c>
      <c r="D349" s="14">
        <f t="shared" ca="1" si="39"/>
        <v>0.62872390425775526</v>
      </c>
      <c r="E349" s="8">
        <f t="shared" ca="1" si="40"/>
        <v>4</v>
      </c>
      <c r="F349" s="8">
        <f t="shared" ca="1" si="41"/>
        <v>5</v>
      </c>
      <c r="G349" s="14">
        <f t="shared" ca="1" si="42"/>
        <v>0.73585780969908909</v>
      </c>
      <c r="H349" s="8">
        <f t="shared" ca="1" si="43"/>
        <v>14</v>
      </c>
    </row>
    <row r="350" spans="1:8">
      <c r="A350" s="8">
        <v>345</v>
      </c>
      <c r="B350" s="9">
        <f t="shared" ca="1" si="37"/>
        <v>0.32252751929729129</v>
      </c>
      <c r="C350" s="10" t="str">
        <f t="shared" ca="1" si="38"/>
        <v>Navegación</v>
      </c>
      <c r="D350" s="9">
        <f t="shared" ca="1" si="39"/>
        <v>0.42206973670604553</v>
      </c>
      <c r="E350" s="10">
        <f t="shared" ca="1" si="40"/>
        <v>3</v>
      </c>
      <c r="F350" s="10">
        <f t="shared" ca="1" si="41"/>
        <v>4</v>
      </c>
      <c r="G350" s="9">
        <f t="shared" ca="1" si="42"/>
        <v>0.33655792782768656</v>
      </c>
      <c r="H350" s="10">
        <f t="shared" ca="1" si="43"/>
        <v>10</v>
      </c>
    </row>
    <row r="351" spans="1:8">
      <c r="A351" s="8">
        <v>346</v>
      </c>
      <c r="B351" s="14">
        <f t="shared" ca="1" si="37"/>
        <v>0.17753506552583875</v>
      </c>
      <c r="C351" s="8" t="str">
        <f t="shared" ca="1" si="38"/>
        <v>Navegación</v>
      </c>
      <c r="D351" s="14">
        <f t="shared" ca="1" si="39"/>
        <v>0.95742964101718719</v>
      </c>
      <c r="E351" s="8">
        <f t="shared" ca="1" si="40"/>
        <v>5</v>
      </c>
      <c r="F351" s="8">
        <f t="shared" ca="1" si="41"/>
        <v>1</v>
      </c>
      <c r="G351" s="14">
        <f t="shared" ca="1" si="42"/>
        <v>8.440224519351569E-2</v>
      </c>
      <c r="H351" s="8">
        <f t="shared" ca="1" si="43"/>
        <v>7</v>
      </c>
    </row>
    <row r="352" spans="1:8">
      <c r="A352" s="8">
        <v>347</v>
      </c>
      <c r="B352" s="9">
        <f t="shared" ca="1" si="37"/>
        <v>0.90595246447007538</v>
      </c>
      <c r="C352" s="10" t="str">
        <f t="shared" ca="1" si="38"/>
        <v>Checkout</v>
      </c>
      <c r="D352" s="9">
        <f t="shared" ca="1" si="39"/>
        <v>0.79789548348316441</v>
      </c>
      <c r="E352" s="10">
        <f t="shared" ca="1" si="40"/>
        <v>4</v>
      </c>
      <c r="F352" s="10">
        <f t="shared" ca="1" si="41"/>
        <v>2</v>
      </c>
      <c r="G352" s="9">
        <f t="shared" ca="1" si="42"/>
        <v>0.36593843885545208</v>
      </c>
      <c r="H352" s="10">
        <f t="shared" ca="1" si="43"/>
        <v>11</v>
      </c>
    </row>
    <row r="353" spans="1:8">
      <c r="A353" s="8">
        <v>348</v>
      </c>
      <c r="B353" s="14">
        <f t="shared" ca="1" si="37"/>
        <v>0.80270253487474863</v>
      </c>
      <c r="C353" s="8" t="str">
        <f t="shared" ca="1" si="38"/>
        <v>Carrito</v>
      </c>
      <c r="D353" s="14">
        <f t="shared" ca="1" si="39"/>
        <v>0.60113471955980213</v>
      </c>
      <c r="E353" s="8">
        <f t="shared" ca="1" si="40"/>
        <v>4</v>
      </c>
      <c r="F353" s="8">
        <f t="shared" ca="1" si="41"/>
        <v>5</v>
      </c>
      <c r="G353" s="14">
        <f t="shared" ca="1" si="42"/>
        <v>0.41054269382263531</v>
      </c>
      <c r="H353" s="8">
        <f t="shared" ca="1" si="43"/>
        <v>11</v>
      </c>
    </row>
    <row r="354" spans="1:8">
      <c r="A354" s="8">
        <v>349</v>
      </c>
      <c r="B354" s="9">
        <f t="shared" ca="1" si="37"/>
        <v>0.53994979655221986</v>
      </c>
      <c r="C354" s="10" t="str">
        <f t="shared" ca="1" si="38"/>
        <v>Navegación</v>
      </c>
      <c r="D354" s="9">
        <f t="shared" ca="1" si="39"/>
        <v>1.8302227730120024E-2</v>
      </c>
      <c r="E354" s="10">
        <f t="shared" ca="1" si="40"/>
        <v>1</v>
      </c>
      <c r="F354" s="10">
        <f t="shared" ca="1" si="41"/>
        <v>1</v>
      </c>
      <c r="G354" s="9">
        <f t="shared" ca="1" si="42"/>
        <v>0.62106192492909773</v>
      </c>
      <c r="H354" s="10">
        <f t="shared" ca="1" si="43"/>
        <v>13</v>
      </c>
    </row>
    <row r="355" spans="1:8">
      <c r="A355" s="8">
        <v>350</v>
      </c>
      <c r="B355" s="14">
        <f t="shared" ca="1" si="37"/>
        <v>0.86181846144746277</v>
      </c>
      <c r="C355" s="8" t="str">
        <f t="shared" ca="1" si="38"/>
        <v>Checkout</v>
      </c>
      <c r="D355" s="14">
        <f t="shared" ca="1" si="39"/>
        <v>0.41706199830371882</v>
      </c>
      <c r="E355" s="8">
        <f t="shared" ca="1" si="40"/>
        <v>3</v>
      </c>
      <c r="F355" s="8">
        <f t="shared" ca="1" si="41"/>
        <v>1</v>
      </c>
      <c r="G355" s="14">
        <f t="shared" ca="1" si="42"/>
        <v>0.81672686414849216</v>
      </c>
      <c r="H355" s="8">
        <f t="shared" ca="1" si="43"/>
        <v>15</v>
      </c>
    </row>
    <row r="356" spans="1:8">
      <c r="A356" s="8">
        <v>351</v>
      </c>
      <c r="B356" s="9">
        <f t="shared" ca="1" si="37"/>
        <v>0.76302365496521019</v>
      </c>
      <c r="C356" s="10" t="str">
        <f t="shared" ca="1" si="38"/>
        <v>Carrito</v>
      </c>
      <c r="D356" s="9">
        <f t="shared" ca="1" si="39"/>
        <v>0.12984369551415775</v>
      </c>
      <c r="E356" s="10">
        <f t="shared" ca="1" si="40"/>
        <v>1</v>
      </c>
      <c r="F356" s="10">
        <f t="shared" ca="1" si="41"/>
        <v>1</v>
      </c>
      <c r="G356" s="9">
        <f t="shared" ca="1" si="42"/>
        <v>0.61805164721344608</v>
      </c>
      <c r="H356" s="10">
        <f t="shared" ca="1" si="43"/>
        <v>13</v>
      </c>
    </row>
    <row r="357" spans="1:8">
      <c r="A357" s="8">
        <v>352</v>
      </c>
      <c r="B357" s="14">
        <f t="shared" ca="1" si="37"/>
        <v>0.24075589693342658</v>
      </c>
      <c r="C357" s="8" t="str">
        <f t="shared" ca="1" si="38"/>
        <v>Navegación</v>
      </c>
      <c r="D357" s="14">
        <f t="shared" ca="1" si="39"/>
        <v>0.30909537726346414</v>
      </c>
      <c r="E357" s="8">
        <f t="shared" ca="1" si="40"/>
        <v>2</v>
      </c>
      <c r="F357" s="8">
        <f t="shared" ca="1" si="41"/>
        <v>3</v>
      </c>
      <c r="G357" s="14">
        <f t="shared" ca="1" si="42"/>
        <v>5.9867642125551734E-3</v>
      </c>
      <c r="H357" s="8">
        <f t="shared" ca="1" si="43"/>
        <v>4</v>
      </c>
    </row>
    <row r="358" spans="1:8">
      <c r="A358" s="8">
        <v>353</v>
      </c>
      <c r="B358" s="9">
        <f t="shared" ca="1" si="37"/>
        <v>0.9339422416767571</v>
      </c>
      <c r="C358" s="10" t="str">
        <f t="shared" ca="1" si="38"/>
        <v>Checkout</v>
      </c>
      <c r="D358" s="9">
        <f t="shared" ca="1" si="39"/>
        <v>0.19177210238564246</v>
      </c>
      <c r="E358" s="10">
        <f t="shared" ca="1" si="40"/>
        <v>1</v>
      </c>
      <c r="F358" s="10">
        <f t="shared" ca="1" si="41"/>
        <v>1</v>
      </c>
      <c r="G358" s="9">
        <f t="shared" ca="1" si="42"/>
        <v>0.95309884657436683</v>
      </c>
      <c r="H358" s="10">
        <f t="shared" ca="1" si="43"/>
        <v>18</v>
      </c>
    </row>
    <row r="359" spans="1:8">
      <c r="A359" s="8">
        <v>354</v>
      </c>
      <c r="B359" s="14">
        <f t="shared" ca="1" si="37"/>
        <v>6.4162519758681813E-2</v>
      </c>
      <c r="C359" s="8" t="str">
        <f t="shared" ca="1" si="38"/>
        <v>Navegación</v>
      </c>
      <c r="D359" s="14">
        <f t="shared" ca="1" si="39"/>
        <v>5.5823368914414528E-2</v>
      </c>
      <c r="E359" s="8">
        <f t="shared" ca="1" si="40"/>
        <v>1</v>
      </c>
      <c r="F359" s="8">
        <f t="shared" ca="1" si="41"/>
        <v>5</v>
      </c>
      <c r="G359" s="14">
        <f t="shared" ca="1" si="42"/>
        <v>0.88738976026628658</v>
      </c>
      <c r="H359" s="8">
        <f t="shared" ca="1" si="43"/>
        <v>16</v>
      </c>
    </row>
    <row r="360" spans="1:8">
      <c r="A360" s="8">
        <v>355</v>
      </c>
      <c r="B360" s="9">
        <f t="shared" ca="1" si="37"/>
        <v>0.3062101964539371</v>
      </c>
      <c r="C360" s="10" t="str">
        <f t="shared" ca="1" si="38"/>
        <v>Navegación</v>
      </c>
      <c r="D360" s="9">
        <f t="shared" ca="1" si="39"/>
        <v>0.84679573706328026</v>
      </c>
      <c r="E360" s="10">
        <f t="shared" ca="1" si="40"/>
        <v>5</v>
      </c>
      <c r="F360" s="10">
        <f t="shared" ca="1" si="41"/>
        <v>1</v>
      </c>
      <c r="G360" s="9">
        <f t="shared" ca="1" si="42"/>
        <v>0.96246243262164555</v>
      </c>
      <c r="H360" s="10">
        <f t="shared" ca="1" si="43"/>
        <v>18</v>
      </c>
    </row>
    <row r="361" spans="1:8">
      <c r="A361" s="8">
        <v>356</v>
      </c>
      <c r="B361" s="14">
        <f t="shared" ca="1" si="37"/>
        <v>0.55703459127054356</v>
      </c>
      <c r="C361" s="8" t="str">
        <f t="shared" ca="1" si="38"/>
        <v>Carrito</v>
      </c>
      <c r="D361" s="14">
        <f t="shared" ca="1" si="39"/>
        <v>0.40493264039343468</v>
      </c>
      <c r="E361" s="8">
        <f t="shared" ca="1" si="40"/>
        <v>3</v>
      </c>
      <c r="F361" s="8">
        <f t="shared" ca="1" si="41"/>
        <v>1</v>
      </c>
      <c r="G361" s="14">
        <f t="shared" ca="1" si="42"/>
        <v>0.42516810444168862</v>
      </c>
      <c r="H361" s="8">
        <f t="shared" ca="1" si="43"/>
        <v>11</v>
      </c>
    </row>
    <row r="362" spans="1:8">
      <c r="A362" s="8">
        <v>357</v>
      </c>
      <c r="B362" s="9">
        <f t="shared" ca="1" si="37"/>
        <v>0.29639108223462263</v>
      </c>
      <c r="C362" s="10" t="str">
        <f t="shared" ca="1" si="38"/>
        <v>Navegación</v>
      </c>
      <c r="D362" s="9">
        <f t="shared" ca="1" si="39"/>
        <v>3.8478518197150091E-2</v>
      </c>
      <c r="E362" s="10">
        <f t="shared" ca="1" si="40"/>
        <v>1</v>
      </c>
      <c r="F362" s="10">
        <f t="shared" ca="1" si="41"/>
        <v>2</v>
      </c>
      <c r="G362" s="9">
        <f t="shared" ca="1" si="42"/>
        <v>0.26613931278597924</v>
      </c>
      <c r="H362" s="10">
        <f t="shared" ca="1" si="43"/>
        <v>10</v>
      </c>
    </row>
    <row r="363" spans="1:8">
      <c r="A363" s="8">
        <v>358</v>
      </c>
      <c r="B363" s="14">
        <f t="shared" ca="1" si="37"/>
        <v>0.69492108903772298</v>
      </c>
      <c r="C363" s="8" t="str">
        <f t="shared" ca="1" si="38"/>
        <v>Carrito</v>
      </c>
      <c r="D363" s="14">
        <f t="shared" ca="1" si="39"/>
        <v>0.53283830597822279</v>
      </c>
      <c r="E363" s="8">
        <f t="shared" ca="1" si="40"/>
        <v>3</v>
      </c>
      <c r="F363" s="8">
        <f t="shared" ca="1" si="41"/>
        <v>2</v>
      </c>
      <c r="G363" s="14">
        <f t="shared" ca="1" si="42"/>
        <v>3.9635241101709795E-3</v>
      </c>
      <c r="H363" s="8">
        <f t="shared" ca="1" si="43"/>
        <v>4</v>
      </c>
    </row>
    <row r="364" spans="1:8">
      <c r="A364" s="8">
        <v>359</v>
      </c>
      <c r="B364" s="9">
        <f t="shared" ca="1" si="37"/>
        <v>0.10837219986813451</v>
      </c>
      <c r="C364" s="10" t="str">
        <f t="shared" ca="1" si="38"/>
        <v>Navegación</v>
      </c>
      <c r="D364" s="9">
        <f t="shared" ca="1" si="39"/>
        <v>0.52494567224527988</v>
      </c>
      <c r="E364" s="10">
        <f t="shared" ca="1" si="40"/>
        <v>3</v>
      </c>
      <c r="F364" s="10">
        <f t="shared" ca="1" si="41"/>
        <v>4</v>
      </c>
      <c r="G364" s="9">
        <f t="shared" ca="1" si="42"/>
        <v>7.6404011239611824E-2</v>
      </c>
      <c r="H364" s="10">
        <f t="shared" ca="1" si="43"/>
        <v>7</v>
      </c>
    </row>
    <row r="365" spans="1:8">
      <c r="A365" s="8">
        <v>360</v>
      </c>
      <c r="B365" s="14">
        <f t="shared" ca="1" si="37"/>
        <v>0.68478648399861941</v>
      </c>
      <c r="C365" s="8" t="str">
        <f t="shared" ca="1" si="38"/>
        <v>Carrito</v>
      </c>
      <c r="D365" s="14">
        <f t="shared" ca="1" si="39"/>
        <v>0.58328996497938224</v>
      </c>
      <c r="E365" s="8">
        <f t="shared" ca="1" si="40"/>
        <v>3</v>
      </c>
      <c r="F365" s="8">
        <f t="shared" ca="1" si="41"/>
        <v>4</v>
      </c>
      <c r="G365" s="14">
        <f t="shared" ca="1" si="42"/>
        <v>0.26284399471780762</v>
      </c>
      <c r="H365" s="8">
        <f t="shared" ca="1" si="43"/>
        <v>10</v>
      </c>
    </row>
    <row r="366" spans="1:8">
      <c r="A366" s="8">
        <v>361</v>
      </c>
      <c r="B366" s="9">
        <f t="shared" ca="1" si="37"/>
        <v>0.86540333638721234</v>
      </c>
      <c r="C366" s="10" t="str">
        <f t="shared" ca="1" si="38"/>
        <v>Checkout</v>
      </c>
      <c r="D366" s="9">
        <f t="shared" ca="1" si="39"/>
        <v>0.39100567793552565</v>
      </c>
      <c r="E366" s="10">
        <f t="shared" ca="1" si="40"/>
        <v>2</v>
      </c>
      <c r="F366" s="10">
        <f t="shared" ca="1" si="41"/>
        <v>4</v>
      </c>
      <c r="G366" s="9">
        <f t="shared" ca="1" si="42"/>
        <v>0.7063524887173549</v>
      </c>
      <c r="H366" s="10">
        <f t="shared" ca="1" si="43"/>
        <v>14</v>
      </c>
    </row>
    <row r="367" spans="1:8">
      <c r="A367" s="8">
        <v>362</v>
      </c>
      <c r="B367" s="14">
        <f t="shared" ca="1" si="37"/>
        <v>0.60105532501105841</v>
      </c>
      <c r="C367" s="8" t="str">
        <f t="shared" ca="1" si="38"/>
        <v>Carrito</v>
      </c>
      <c r="D367" s="14">
        <f t="shared" ca="1" si="39"/>
        <v>0.49083779430825092</v>
      </c>
      <c r="E367" s="8">
        <f t="shared" ca="1" si="40"/>
        <v>3</v>
      </c>
      <c r="F367" s="8">
        <f t="shared" ca="1" si="41"/>
        <v>1</v>
      </c>
      <c r="G367" s="14">
        <f t="shared" ca="1" si="42"/>
        <v>0.16711871468747297</v>
      </c>
      <c r="H367" s="8">
        <f t="shared" ca="1" si="43"/>
        <v>9</v>
      </c>
    </row>
    <row r="368" spans="1:8">
      <c r="A368" s="8">
        <v>363</v>
      </c>
      <c r="B368" s="9">
        <f t="shared" ca="1" si="37"/>
        <v>0.62855684764863595</v>
      </c>
      <c r="C368" s="10" t="str">
        <f t="shared" ca="1" si="38"/>
        <v>Carrito</v>
      </c>
      <c r="D368" s="9">
        <f t="shared" ca="1" si="39"/>
        <v>0.53274273239432057</v>
      </c>
      <c r="E368" s="10">
        <f t="shared" ca="1" si="40"/>
        <v>3</v>
      </c>
      <c r="F368" s="10">
        <f t="shared" ca="1" si="41"/>
        <v>2</v>
      </c>
      <c r="G368" s="9">
        <f t="shared" ca="1" si="42"/>
        <v>0.96500112805099592</v>
      </c>
      <c r="H368" s="10">
        <f t="shared" ca="1" si="43"/>
        <v>19</v>
      </c>
    </row>
    <row r="369" spans="1:8">
      <c r="A369" s="8">
        <v>364</v>
      </c>
      <c r="B369" s="14">
        <f t="shared" ca="1" si="37"/>
        <v>1.0606491338968849E-2</v>
      </c>
      <c r="C369" s="8" t="str">
        <f t="shared" ca="1" si="38"/>
        <v>Navegación</v>
      </c>
      <c r="D369" s="14">
        <f t="shared" ca="1" si="39"/>
        <v>0.86746942757861811</v>
      </c>
      <c r="E369" s="8">
        <f t="shared" ca="1" si="40"/>
        <v>5</v>
      </c>
      <c r="F369" s="8">
        <f t="shared" ca="1" si="41"/>
        <v>4</v>
      </c>
      <c r="G369" s="14">
        <f t="shared" ca="1" si="42"/>
        <v>0.75129437387763232</v>
      </c>
      <c r="H369" s="8">
        <f t="shared" ca="1" si="43"/>
        <v>14</v>
      </c>
    </row>
    <row r="370" spans="1:8">
      <c r="A370" s="8">
        <v>365</v>
      </c>
      <c r="B370" s="9">
        <f t="shared" ca="1" si="37"/>
        <v>0.22680225088785055</v>
      </c>
      <c r="C370" s="10" t="str">
        <f t="shared" ca="1" si="38"/>
        <v>Navegación</v>
      </c>
      <c r="D370" s="9">
        <f t="shared" ca="1" si="39"/>
        <v>0.39952769657627529</v>
      </c>
      <c r="E370" s="10">
        <f t="shared" ca="1" si="40"/>
        <v>2</v>
      </c>
      <c r="F370" s="10">
        <f t="shared" ca="1" si="41"/>
        <v>4</v>
      </c>
      <c r="G370" s="9">
        <f t="shared" ca="1" si="42"/>
        <v>0.35444019141324112</v>
      </c>
      <c r="H370" s="10">
        <f t="shared" ca="1" si="43"/>
        <v>11</v>
      </c>
    </row>
    <row r="371" spans="1:8">
      <c r="A371" s="8">
        <v>366</v>
      </c>
      <c r="B371" s="14">
        <f t="shared" ca="1" si="37"/>
        <v>4.0710755600309678E-2</v>
      </c>
      <c r="C371" s="8" t="str">
        <f t="shared" ca="1" si="38"/>
        <v>Navegación</v>
      </c>
      <c r="D371" s="14">
        <f t="shared" ca="1" si="39"/>
        <v>0.89206020002123643</v>
      </c>
      <c r="E371" s="8">
        <f t="shared" ca="1" si="40"/>
        <v>5</v>
      </c>
      <c r="F371" s="8">
        <f t="shared" ca="1" si="41"/>
        <v>2</v>
      </c>
      <c r="G371" s="14">
        <f t="shared" ca="1" si="42"/>
        <v>0.11606303972342547</v>
      </c>
      <c r="H371" s="8">
        <f t="shared" ca="1" si="43"/>
        <v>8</v>
      </c>
    </row>
    <row r="372" spans="1:8">
      <c r="A372" s="8">
        <v>367</v>
      </c>
      <c r="B372" s="9">
        <f t="shared" ca="1" si="37"/>
        <v>0.26140772262624334</v>
      </c>
      <c r="C372" s="10" t="str">
        <f t="shared" ca="1" si="38"/>
        <v>Navegación</v>
      </c>
      <c r="D372" s="9">
        <f t="shared" ca="1" si="39"/>
        <v>0.1450684986485874</v>
      </c>
      <c r="E372" s="10">
        <f t="shared" ca="1" si="40"/>
        <v>1</v>
      </c>
      <c r="F372" s="10">
        <f t="shared" ca="1" si="41"/>
        <v>5</v>
      </c>
      <c r="G372" s="9">
        <f t="shared" ca="1" si="42"/>
        <v>0.45856371222534953</v>
      </c>
      <c r="H372" s="10">
        <f t="shared" ca="1" si="43"/>
        <v>11</v>
      </c>
    </row>
    <row r="373" spans="1:8">
      <c r="A373" s="8">
        <v>368</v>
      </c>
      <c r="B373" s="14">
        <f t="shared" ca="1" si="37"/>
        <v>0.90974978798269845</v>
      </c>
      <c r="C373" s="8" t="str">
        <f t="shared" ca="1" si="38"/>
        <v>Checkout</v>
      </c>
      <c r="D373" s="14">
        <f t="shared" ca="1" si="39"/>
        <v>0.81889537302954929</v>
      </c>
      <c r="E373" s="8">
        <f t="shared" ca="1" si="40"/>
        <v>5</v>
      </c>
      <c r="F373" s="8">
        <f t="shared" ca="1" si="41"/>
        <v>4</v>
      </c>
      <c r="G373" s="14">
        <f t="shared" ca="1" si="42"/>
        <v>0.85891254923362903</v>
      </c>
      <c r="H373" s="8">
        <f t="shared" ca="1" si="43"/>
        <v>16</v>
      </c>
    </row>
    <row r="374" spans="1:8">
      <c r="A374" s="8">
        <v>369</v>
      </c>
      <c r="B374" s="9">
        <f t="shared" ca="1" si="37"/>
        <v>0.82608040245565051</v>
      </c>
      <c r="C374" s="10" t="str">
        <f t="shared" ca="1" si="38"/>
        <v>Carrito</v>
      </c>
      <c r="D374" s="9">
        <f t="shared" ca="1" si="39"/>
        <v>0.41083040499036783</v>
      </c>
      <c r="E374" s="10">
        <f t="shared" ca="1" si="40"/>
        <v>3</v>
      </c>
      <c r="F374" s="10">
        <f t="shared" ca="1" si="41"/>
        <v>3</v>
      </c>
      <c r="G374" s="9">
        <f t="shared" ca="1" si="42"/>
        <v>0.95792094258002936</v>
      </c>
      <c r="H374" s="10">
        <f t="shared" ca="1" si="43"/>
        <v>18</v>
      </c>
    </row>
    <row r="375" spans="1:8">
      <c r="A375" s="8">
        <v>370</v>
      </c>
      <c r="B375" s="14">
        <f t="shared" ca="1" si="37"/>
        <v>0.43785564379712294</v>
      </c>
      <c r="C375" s="8" t="str">
        <f t="shared" ca="1" si="38"/>
        <v>Navegación</v>
      </c>
      <c r="D375" s="14">
        <f t="shared" ca="1" si="39"/>
        <v>0.42972027301882432</v>
      </c>
      <c r="E375" s="8">
        <f t="shared" ca="1" si="40"/>
        <v>3</v>
      </c>
      <c r="F375" s="8">
        <f t="shared" ca="1" si="41"/>
        <v>3</v>
      </c>
      <c r="G375" s="14">
        <f t="shared" ca="1" si="42"/>
        <v>0.30528229917609762</v>
      </c>
      <c r="H375" s="8">
        <f t="shared" ca="1" si="43"/>
        <v>10</v>
      </c>
    </row>
    <row r="376" spans="1:8">
      <c r="A376" s="8">
        <v>371</v>
      </c>
      <c r="B376" s="9">
        <f t="shared" ca="1" si="37"/>
        <v>0.71429187093098556</v>
      </c>
      <c r="C376" s="10" t="str">
        <f t="shared" ca="1" si="38"/>
        <v>Carrito</v>
      </c>
      <c r="D376" s="9">
        <f t="shared" ca="1" si="39"/>
        <v>0.21407753693655351</v>
      </c>
      <c r="E376" s="10">
        <f t="shared" ca="1" si="40"/>
        <v>2</v>
      </c>
      <c r="F376" s="10">
        <f t="shared" ca="1" si="41"/>
        <v>1</v>
      </c>
      <c r="G376" s="9">
        <f t="shared" ca="1" si="42"/>
        <v>0.98850178281517909</v>
      </c>
      <c r="H376" s="10">
        <f t="shared" ca="1" si="43"/>
        <v>21</v>
      </c>
    </row>
    <row r="377" spans="1:8">
      <c r="A377" s="8">
        <v>372</v>
      </c>
      <c r="B377" s="14">
        <f t="shared" ca="1" si="37"/>
        <v>0.25773183493058771</v>
      </c>
      <c r="C377" s="8" t="str">
        <f t="shared" ca="1" si="38"/>
        <v>Navegación</v>
      </c>
      <c r="D377" s="14">
        <f t="shared" ca="1" si="39"/>
        <v>0.52831716215824043</v>
      </c>
      <c r="E377" s="8">
        <f t="shared" ca="1" si="40"/>
        <v>3</v>
      </c>
      <c r="F377" s="8">
        <f t="shared" ca="1" si="41"/>
        <v>1</v>
      </c>
      <c r="G377" s="14">
        <f t="shared" ca="1" si="42"/>
        <v>0.946535801960118</v>
      </c>
      <c r="H377" s="8">
        <f t="shared" ca="1" si="43"/>
        <v>18</v>
      </c>
    </row>
    <row r="378" spans="1:8">
      <c r="A378" s="8">
        <v>373</v>
      </c>
      <c r="B378" s="9">
        <f t="shared" ca="1" si="37"/>
        <v>6.7147501948709998E-2</v>
      </c>
      <c r="C378" s="10" t="str">
        <f t="shared" ca="1" si="38"/>
        <v>Navegación</v>
      </c>
      <c r="D378" s="9">
        <f t="shared" ca="1" si="39"/>
        <v>0.65099515208000081</v>
      </c>
      <c r="E378" s="10">
        <f t="shared" ca="1" si="40"/>
        <v>4</v>
      </c>
      <c r="F378" s="10">
        <f t="shared" ca="1" si="41"/>
        <v>5</v>
      </c>
      <c r="G378" s="9">
        <f t="shared" ca="1" si="42"/>
        <v>0.71383460058542303</v>
      </c>
      <c r="H378" s="10">
        <f t="shared" ca="1" si="43"/>
        <v>14</v>
      </c>
    </row>
    <row r="379" spans="1:8">
      <c r="A379" s="8">
        <v>374</v>
      </c>
      <c r="B379" s="14">
        <f t="shared" ca="1" si="37"/>
        <v>0.55747501492605367</v>
      </c>
      <c r="C379" s="8" t="str">
        <f t="shared" ca="1" si="38"/>
        <v>Carrito</v>
      </c>
      <c r="D379" s="14">
        <f t="shared" ca="1" si="39"/>
        <v>0.88279979207324466</v>
      </c>
      <c r="E379" s="8">
        <f t="shared" ca="1" si="40"/>
        <v>5</v>
      </c>
      <c r="F379" s="8">
        <f t="shared" ca="1" si="41"/>
        <v>4</v>
      </c>
      <c r="G379" s="14">
        <f t="shared" ca="1" si="42"/>
        <v>0.12696037701036944</v>
      </c>
      <c r="H379" s="8">
        <f t="shared" ca="1" si="43"/>
        <v>8</v>
      </c>
    </row>
    <row r="380" spans="1:8">
      <c r="A380" s="8">
        <v>375</v>
      </c>
      <c r="B380" s="9">
        <f t="shared" ca="1" si="37"/>
        <v>0.48282648943213502</v>
      </c>
      <c r="C380" s="10" t="str">
        <f t="shared" ca="1" si="38"/>
        <v>Navegación</v>
      </c>
      <c r="D380" s="9">
        <f t="shared" ca="1" si="39"/>
        <v>0.58675010631677127</v>
      </c>
      <c r="E380" s="10">
        <f t="shared" ca="1" si="40"/>
        <v>3</v>
      </c>
      <c r="F380" s="10">
        <f t="shared" ca="1" si="41"/>
        <v>5</v>
      </c>
      <c r="G380" s="9">
        <f t="shared" ca="1" si="42"/>
        <v>0.83938268521897597</v>
      </c>
      <c r="H380" s="10">
        <f t="shared" ca="1" si="43"/>
        <v>15</v>
      </c>
    </row>
    <row r="381" spans="1:8">
      <c r="A381" s="8">
        <v>376</v>
      </c>
      <c r="B381" s="14">
        <f t="shared" ca="1" si="37"/>
        <v>9.5059247839782923E-2</v>
      </c>
      <c r="C381" s="8" t="str">
        <f t="shared" ca="1" si="38"/>
        <v>Navegación</v>
      </c>
      <c r="D381" s="14">
        <f t="shared" ca="1" si="39"/>
        <v>0.13032774338041042</v>
      </c>
      <c r="E381" s="8">
        <f t="shared" ca="1" si="40"/>
        <v>1</v>
      </c>
      <c r="F381" s="8">
        <f t="shared" ca="1" si="41"/>
        <v>2</v>
      </c>
      <c r="G381" s="14">
        <f t="shared" ca="1" si="42"/>
        <v>5.4059115733959384E-2</v>
      </c>
      <c r="H381" s="8">
        <f t="shared" ca="1" si="43"/>
        <v>7</v>
      </c>
    </row>
    <row r="382" spans="1:8">
      <c r="A382" s="8">
        <v>377</v>
      </c>
      <c r="B382" s="9">
        <f t="shared" ca="1" si="37"/>
        <v>0.90944162866533118</v>
      </c>
      <c r="C382" s="10" t="str">
        <f t="shared" ca="1" si="38"/>
        <v>Checkout</v>
      </c>
      <c r="D382" s="9">
        <f t="shared" ca="1" si="39"/>
        <v>0.37086253373305833</v>
      </c>
      <c r="E382" s="10">
        <f t="shared" ca="1" si="40"/>
        <v>2</v>
      </c>
      <c r="F382" s="10">
        <f t="shared" ca="1" si="41"/>
        <v>4</v>
      </c>
      <c r="G382" s="9">
        <f t="shared" ca="1" si="42"/>
        <v>0.83940814825987853</v>
      </c>
      <c r="H382" s="10">
        <f t="shared" ca="1" si="43"/>
        <v>15</v>
      </c>
    </row>
    <row r="383" spans="1:8">
      <c r="A383" s="8">
        <v>378</v>
      </c>
      <c r="B383" s="14">
        <f t="shared" ca="1" si="37"/>
        <v>0.12922406530874786</v>
      </c>
      <c r="C383" s="8" t="str">
        <f t="shared" ca="1" si="38"/>
        <v>Navegación</v>
      </c>
      <c r="D383" s="14">
        <f t="shared" ca="1" si="39"/>
        <v>3.7002559854476647E-2</v>
      </c>
      <c r="E383" s="8">
        <f t="shared" ca="1" si="40"/>
        <v>1</v>
      </c>
      <c r="F383" s="8">
        <f t="shared" ca="1" si="41"/>
        <v>3</v>
      </c>
      <c r="G383" s="14">
        <f t="shared" ca="1" si="42"/>
        <v>0.81870969255760906</v>
      </c>
      <c r="H383" s="8">
        <f t="shared" ca="1" si="43"/>
        <v>15</v>
      </c>
    </row>
    <row r="384" spans="1:8">
      <c r="A384" s="8">
        <v>379</v>
      </c>
      <c r="B384" s="9">
        <f t="shared" ca="1" si="37"/>
        <v>0.18506917170724457</v>
      </c>
      <c r="C384" s="10" t="str">
        <f t="shared" ca="1" si="38"/>
        <v>Navegación</v>
      </c>
      <c r="D384" s="9">
        <f t="shared" ca="1" si="39"/>
        <v>0.39604702209619225</v>
      </c>
      <c r="E384" s="10">
        <f t="shared" ca="1" si="40"/>
        <v>2</v>
      </c>
      <c r="F384" s="10">
        <f t="shared" ca="1" si="41"/>
        <v>4</v>
      </c>
      <c r="G384" s="9">
        <f t="shared" ca="1" si="42"/>
        <v>0.9464867580611509</v>
      </c>
      <c r="H384" s="10">
        <f t="shared" ca="1" si="43"/>
        <v>18</v>
      </c>
    </row>
    <row r="385" spans="1:8">
      <c r="A385" s="8">
        <v>380</v>
      </c>
      <c r="B385" s="14">
        <f t="shared" ca="1" si="37"/>
        <v>0.37430261348559146</v>
      </c>
      <c r="C385" s="8" t="str">
        <f t="shared" ca="1" si="38"/>
        <v>Navegación</v>
      </c>
      <c r="D385" s="14">
        <f t="shared" ca="1" si="39"/>
        <v>0.75994817005274451</v>
      </c>
      <c r="E385" s="8">
        <f t="shared" ca="1" si="40"/>
        <v>4</v>
      </c>
      <c r="F385" s="8">
        <f t="shared" ca="1" si="41"/>
        <v>1</v>
      </c>
      <c r="G385" s="14">
        <f t="shared" ca="1" si="42"/>
        <v>0.35180581527358756</v>
      </c>
      <c r="H385" s="8">
        <f t="shared" ca="1" si="43"/>
        <v>11</v>
      </c>
    </row>
    <row r="386" spans="1:8">
      <c r="A386" s="8">
        <v>381</v>
      </c>
      <c r="B386" s="9">
        <f t="shared" ca="1" si="37"/>
        <v>0.90097343811805886</v>
      </c>
      <c r="C386" s="10" t="str">
        <f t="shared" ca="1" si="38"/>
        <v>Checkout</v>
      </c>
      <c r="D386" s="9">
        <f t="shared" ca="1" si="39"/>
        <v>4.57779398183078E-2</v>
      </c>
      <c r="E386" s="10">
        <f t="shared" ca="1" si="40"/>
        <v>1</v>
      </c>
      <c r="F386" s="10">
        <f t="shared" ca="1" si="41"/>
        <v>5</v>
      </c>
      <c r="G386" s="9">
        <f t="shared" ca="1" si="42"/>
        <v>3.7891398581643365E-2</v>
      </c>
      <c r="H386" s="10">
        <f t="shared" ca="1" si="43"/>
        <v>6</v>
      </c>
    </row>
    <row r="387" spans="1:8">
      <c r="A387" s="8">
        <v>382</v>
      </c>
      <c r="B387" s="14">
        <f t="shared" ca="1" si="37"/>
        <v>0.8098920207370639</v>
      </c>
      <c r="C387" s="8" t="str">
        <f t="shared" ca="1" si="38"/>
        <v>Carrito</v>
      </c>
      <c r="D387" s="14">
        <f t="shared" ca="1" si="39"/>
        <v>0.52588971230643067</v>
      </c>
      <c r="E387" s="8">
        <f t="shared" ca="1" si="40"/>
        <v>3</v>
      </c>
      <c r="F387" s="8">
        <f t="shared" ca="1" si="41"/>
        <v>1</v>
      </c>
      <c r="G387" s="14">
        <f t="shared" ca="1" si="42"/>
        <v>0.45418565378904729</v>
      </c>
      <c r="H387" s="8">
        <f t="shared" ca="1" si="43"/>
        <v>11</v>
      </c>
    </row>
    <row r="388" spans="1:8">
      <c r="A388" s="8">
        <v>383</v>
      </c>
      <c r="B388" s="9">
        <f t="shared" ca="1" si="37"/>
        <v>0.45439033014712071</v>
      </c>
      <c r="C388" s="10" t="str">
        <f t="shared" ca="1" si="38"/>
        <v>Navegación</v>
      </c>
      <c r="D388" s="9">
        <f t="shared" ca="1" si="39"/>
        <v>0.96337768530808987</v>
      </c>
      <c r="E388" s="10">
        <f t="shared" ca="1" si="40"/>
        <v>5</v>
      </c>
      <c r="F388" s="10">
        <f t="shared" ca="1" si="41"/>
        <v>1</v>
      </c>
      <c r="G388" s="9">
        <f t="shared" ca="1" si="42"/>
        <v>0.64416864787288297</v>
      </c>
      <c r="H388" s="10">
        <f t="shared" ca="1" si="43"/>
        <v>13</v>
      </c>
    </row>
    <row r="389" spans="1:8">
      <c r="A389" s="8">
        <v>384</v>
      </c>
      <c r="B389" s="14">
        <f t="shared" ca="1" si="37"/>
        <v>0.69444937394265072</v>
      </c>
      <c r="C389" s="8" t="str">
        <f t="shared" ca="1" si="38"/>
        <v>Carrito</v>
      </c>
      <c r="D389" s="14">
        <f t="shared" ca="1" si="39"/>
        <v>0.89186866995912939</v>
      </c>
      <c r="E389" s="8">
        <f t="shared" ca="1" si="40"/>
        <v>5</v>
      </c>
      <c r="F389" s="8">
        <f t="shared" ca="1" si="41"/>
        <v>3</v>
      </c>
      <c r="G389" s="14">
        <f t="shared" ca="1" si="42"/>
        <v>8.4288397955282868E-2</v>
      </c>
      <c r="H389" s="8">
        <f t="shared" ca="1" si="43"/>
        <v>7</v>
      </c>
    </row>
    <row r="390" spans="1:8">
      <c r="A390" s="8">
        <v>385</v>
      </c>
      <c r="B390" s="9">
        <f t="shared" ref="B390:B453" ca="1" si="44">RAND()</f>
        <v>9.4755811015239111E-2</v>
      </c>
      <c r="C390" s="10" t="str">
        <f t="shared" ref="C390:C453" ca="1" si="45">VLOOKUP(B390, $J$6:$K$8, 2, TRUE)</f>
        <v>Navegación</v>
      </c>
      <c r="D390" s="9">
        <f t="shared" ref="D390:D453" ca="1" si="46">RAND()</f>
        <v>0.30889003534458337</v>
      </c>
      <c r="E390" s="10">
        <f t="shared" ref="E390:E453" ca="1" si="47">INT(D390*($O$7-$O$6+1))+$O$6</f>
        <v>2</v>
      </c>
      <c r="F390" s="10">
        <f t="shared" ref="F390:F453" ca="1" si="48">RANDBETWEEN($O$6, $O$7)</f>
        <v>3</v>
      </c>
      <c r="G390" s="9">
        <f t="shared" ref="G390:G453" ca="1" si="49">RAND()</f>
        <v>0.6678553981353208</v>
      </c>
      <c r="H390" s="10">
        <f t="shared" ref="H390:H453" ca="1" si="50">VLOOKUP(G390, $W$5:$X$39, 2, TRUE)</f>
        <v>13</v>
      </c>
    </row>
    <row r="391" spans="1:8">
      <c r="A391" s="8">
        <v>386</v>
      </c>
      <c r="B391" s="14">
        <f t="shared" ca="1" si="44"/>
        <v>0.78057694021653201</v>
      </c>
      <c r="C391" s="8" t="str">
        <f t="shared" ca="1" si="45"/>
        <v>Carrito</v>
      </c>
      <c r="D391" s="14">
        <f t="shared" ca="1" si="46"/>
        <v>0.33049355293991944</v>
      </c>
      <c r="E391" s="8">
        <f t="shared" ca="1" si="47"/>
        <v>2</v>
      </c>
      <c r="F391" s="8">
        <f t="shared" ca="1" si="48"/>
        <v>4</v>
      </c>
      <c r="G391" s="14">
        <f t="shared" ca="1" si="49"/>
        <v>0.84504367298171346</v>
      </c>
      <c r="H391" s="8">
        <f t="shared" ca="1" si="50"/>
        <v>16</v>
      </c>
    </row>
    <row r="392" spans="1:8">
      <c r="A392" s="8">
        <v>387</v>
      </c>
      <c r="B392" s="9">
        <f t="shared" ca="1" si="44"/>
        <v>0.85602740866883031</v>
      </c>
      <c r="C392" s="10" t="str">
        <f t="shared" ca="1" si="45"/>
        <v>Checkout</v>
      </c>
      <c r="D392" s="9">
        <f t="shared" ca="1" si="46"/>
        <v>0.6515247965793266</v>
      </c>
      <c r="E392" s="10">
        <f t="shared" ca="1" si="47"/>
        <v>4</v>
      </c>
      <c r="F392" s="10">
        <f t="shared" ca="1" si="48"/>
        <v>2</v>
      </c>
      <c r="G392" s="9">
        <f t="shared" ca="1" si="49"/>
        <v>0.92144613175612211</v>
      </c>
      <c r="H392" s="10">
        <f t="shared" ca="1" si="50"/>
        <v>17</v>
      </c>
    </row>
    <row r="393" spans="1:8">
      <c r="A393" s="8">
        <v>388</v>
      </c>
      <c r="B393" s="14">
        <f t="shared" ca="1" si="44"/>
        <v>0.30923336574525495</v>
      </c>
      <c r="C393" s="8" t="str">
        <f t="shared" ca="1" si="45"/>
        <v>Navegación</v>
      </c>
      <c r="D393" s="14">
        <f t="shared" ca="1" si="46"/>
        <v>0.38760331093894673</v>
      </c>
      <c r="E393" s="8">
        <f t="shared" ca="1" si="47"/>
        <v>2</v>
      </c>
      <c r="F393" s="8">
        <f t="shared" ca="1" si="48"/>
        <v>3</v>
      </c>
      <c r="G393" s="14">
        <f t="shared" ca="1" si="49"/>
        <v>0.4164938526290074</v>
      </c>
      <c r="H393" s="8">
        <f t="shared" ca="1" si="50"/>
        <v>11</v>
      </c>
    </row>
    <row r="394" spans="1:8">
      <c r="A394" s="8">
        <v>389</v>
      </c>
      <c r="B394" s="9">
        <f t="shared" ca="1" si="44"/>
        <v>0.22087521918499886</v>
      </c>
      <c r="C394" s="10" t="str">
        <f t="shared" ca="1" si="45"/>
        <v>Navegación</v>
      </c>
      <c r="D394" s="9">
        <f t="shared" ca="1" si="46"/>
        <v>0.34402188649930432</v>
      </c>
      <c r="E394" s="10">
        <f t="shared" ca="1" si="47"/>
        <v>2</v>
      </c>
      <c r="F394" s="10">
        <f t="shared" ca="1" si="48"/>
        <v>4</v>
      </c>
      <c r="G394" s="9">
        <f t="shared" ca="1" si="49"/>
        <v>0.15894378908627593</v>
      </c>
      <c r="H394" s="10">
        <f t="shared" ca="1" si="50"/>
        <v>9</v>
      </c>
    </row>
    <row r="395" spans="1:8">
      <c r="A395" s="8">
        <v>390</v>
      </c>
      <c r="B395" s="14">
        <f t="shared" ca="1" si="44"/>
        <v>0.47433802937415503</v>
      </c>
      <c r="C395" s="8" t="str">
        <f t="shared" ca="1" si="45"/>
        <v>Navegación</v>
      </c>
      <c r="D395" s="14">
        <f t="shared" ca="1" si="46"/>
        <v>0.96992771269506184</v>
      </c>
      <c r="E395" s="8">
        <f t="shared" ca="1" si="47"/>
        <v>5</v>
      </c>
      <c r="F395" s="8">
        <f t="shared" ca="1" si="48"/>
        <v>3</v>
      </c>
      <c r="G395" s="14">
        <f t="shared" ca="1" si="49"/>
        <v>0.68915754021078357</v>
      </c>
      <c r="H395" s="8">
        <f t="shared" ca="1" si="50"/>
        <v>14</v>
      </c>
    </row>
    <row r="396" spans="1:8">
      <c r="A396" s="8">
        <v>391</v>
      </c>
      <c r="B396" s="9">
        <f t="shared" ca="1" si="44"/>
        <v>0.65911531379150834</v>
      </c>
      <c r="C396" s="10" t="str">
        <f t="shared" ca="1" si="45"/>
        <v>Carrito</v>
      </c>
      <c r="D396" s="9">
        <f t="shared" ca="1" si="46"/>
        <v>0.37109604099047855</v>
      </c>
      <c r="E396" s="10">
        <f t="shared" ca="1" si="47"/>
        <v>2</v>
      </c>
      <c r="F396" s="10">
        <f t="shared" ca="1" si="48"/>
        <v>1</v>
      </c>
      <c r="G396" s="9">
        <f t="shared" ca="1" si="49"/>
        <v>0.53045158101008727</v>
      </c>
      <c r="H396" s="10">
        <f t="shared" ca="1" si="50"/>
        <v>12</v>
      </c>
    </row>
    <row r="397" spans="1:8">
      <c r="A397" s="8">
        <v>392</v>
      </c>
      <c r="B397" s="14">
        <f t="shared" ca="1" si="44"/>
        <v>0.72989145260835675</v>
      </c>
      <c r="C397" s="8" t="str">
        <f t="shared" ca="1" si="45"/>
        <v>Carrito</v>
      </c>
      <c r="D397" s="14">
        <f t="shared" ca="1" si="46"/>
        <v>0.4335548176305023</v>
      </c>
      <c r="E397" s="8">
        <f t="shared" ca="1" si="47"/>
        <v>3</v>
      </c>
      <c r="F397" s="8">
        <f t="shared" ca="1" si="48"/>
        <v>4</v>
      </c>
      <c r="G397" s="14">
        <f t="shared" ca="1" si="49"/>
        <v>0.48070239568029638</v>
      </c>
      <c r="H397" s="8">
        <f t="shared" ca="1" si="50"/>
        <v>12</v>
      </c>
    </row>
    <row r="398" spans="1:8">
      <c r="A398" s="8">
        <v>393</v>
      </c>
      <c r="B398" s="9">
        <f t="shared" ca="1" si="44"/>
        <v>7.225401146912025E-2</v>
      </c>
      <c r="C398" s="10" t="str">
        <f t="shared" ca="1" si="45"/>
        <v>Navegación</v>
      </c>
      <c r="D398" s="9">
        <f t="shared" ca="1" si="46"/>
        <v>0.64695608312985331</v>
      </c>
      <c r="E398" s="10">
        <f t="shared" ca="1" si="47"/>
        <v>4</v>
      </c>
      <c r="F398" s="10">
        <f t="shared" ca="1" si="48"/>
        <v>4</v>
      </c>
      <c r="G398" s="9">
        <f t="shared" ca="1" si="49"/>
        <v>0.54451944373029393</v>
      </c>
      <c r="H398" s="10">
        <f t="shared" ca="1" si="50"/>
        <v>12</v>
      </c>
    </row>
    <row r="399" spans="1:8">
      <c r="A399" s="8">
        <v>394</v>
      </c>
      <c r="B399" s="14">
        <f t="shared" ca="1" si="44"/>
        <v>0.11990911376998359</v>
      </c>
      <c r="C399" s="8" t="str">
        <f t="shared" ca="1" si="45"/>
        <v>Navegación</v>
      </c>
      <c r="D399" s="14">
        <f t="shared" ca="1" si="46"/>
        <v>0.56115139326589369</v>
      </c>
      <c r="E399" s="8">
        <f t="shared" ca="1" si="47"/>
        <v>3</v>
      </c>
      <c r="F399" s="8">
        <f t="shared" ca="1" si="48"/>
        <v>2</v>
      </c>
      <c r="G399" s="14">
        <f t="shared" ca="1" si="49"/>
        <v>0.17303802714668881</v>
      </c>
      <c r="H399" s="8">
        <f t="shared" ca="1" si="50"/>
        <v>9</v>
      </c>
    </row>
    <row r="400" spans="1:8">
      <c r="A400" s="8">
        <v>395</v>
      </c>
      <c r="B400" s="9">
        <f t="shared" ca="1" si="44"/>
        <v>0.61004404954620473</v>
      </c>
      <c r="C400" s="10" t="str">
        <f t="shared" ca="1" si="45"/>
        <v>Carrito</v>
      </c>
      <c r="D400" s="9">
        <f t="shared" ca="1" si="46"/>
        <v>0.53894190326758762</v>
      </c>
      <c r="E400" s="10">
        <f t="shared" ca="1" si="47"/>
        <v>3</v>
      </c>
      <c r="F400" s="10">
        <f t="shared" ca="1" si="48"/>
        <v>3</v>
      </c>
      <c r="G400" s="9">
        <f t="shared" ca="1" si="49"/>
        <v>0.90688830085410566</v>
      </c>
      <c r="H400" s="10">
        <f t="shared" ca="1" si="50"/>
        <v>17</v>
      </c>
    </row>
    <row r="401" spans="1:8">
      <c r="A401" s="8">
        <v>396</v>
      </c>
      <c r="B401" s="14">
        <f t="shared" ca="1" si="44"/>
        <v>0.72821881952718159</v>
      </c>
      <c r="C401" s="8" t="str">
        <f t="shared" ca="1" si="45"/>
        <v>Carrito</v>
      </c>
      <c r="D401" s="14">
        <f t="shared" ca="1" si="46"/>
        <v>0.10041134932169871</v>
      </c>
      <c r="E401" s="8">
        <f t="shared" ca="1" si="47"/>
        <v>1</v>
      </c>
      <c r="F401" s="8">
        <f t="shared" ca="1" si="48"/>
        <v>3</v>
      </c>
      <c r="G401" s="14">
        <f t="shared" ca="1" si="49"/>
        <v>0.31195826263794424</v>
      </c>
      <c r="H401" s="8">
        <f t="shared" ca="1" si="50"/>
        <v>10</v>
      </c>
    </row>
    <row r="402" spans="1:8">
      <c r="A402" s="8">
        <v>397</v>
      </c>
      <c r="B402" s="9">
        <f t="shared" ca="1" si="44"/>
        <v>0.20717429499421769</v>
      </c>
      <c r="C402" s="10" t="str">
        <f t="shared" ca="1" si="45"/>
        <v>Navegación</v>
      </c>
      <c r="D402" s="9">
        <f t="shared" ca="1" si="46"/>
        <v>0.82929974259479367</v>
      </c>
      <c r="E402" s="10">
        <f t="shared" ca="1" si="47"/>
        <v>5</v>
      </c>
      <c r="F402" s="10">
        <f t="shared" ca="1" si="48"/>
        <v>4</v>
      </c>
      <c r="G402" s="9">
        <f t="shared" ca="1" si="49"/>
        <v>0.8638153945730308</v>
      </c>
      <c r="H402" s="10">
        <f t="shared" ca="1" si="50"/>
        <v>16</v>
      </c>
    </row>
    <row r="403" spans="1:8">
      <c r="A403" s="8">
        <v>398</v>
      </c>
      <c r="B403" s="14">
        <f t="shared" ca="1" si="44"/>
        <v>0.53574814191891718</v>
      </c>
      <c r="C403" s="8" t="str">
        <f t="shared" ca="1" si="45"/>
        <v>Navegación</v>
      </c>
      <c r="D403" s="14">
        <f t="shared" ca="1" si="46"/>
        <v>0.70732226318954994</v>
      </c>
      <c r="E403" s="8">
        <f t="shared" ca="1" si="47"/>
        <v>4</v>
      </c>
      <c r="F403" s="8">
        <f t="shared" ca="1" si="48"/>
        <v>2</v>
      </c>
      <c r="G403" s="14">
        <f t="shared" ca="1" si="49"/>
        <v>0.52943298916542103</v>
      </c>
      <c r="H403" s="8">
        <f t="shared" ca="1" si="50"/>
        <v>12</v>
      </c>
    </row>
    <row r="404" spans="1:8">
      <c r="A404" s="8">
        <v>399</v>
      </c>
      <c r="B404" s="9">
        <f t="shared" ca="1" si="44"/>
        <v>9.6444202288867631E-2</v>
      </c>
      <c r="C404" s="10" t="str">
        <f t="shared" ca="1" si="45"/>
        <v>Navegación</v>
      </c>
      <c r="D404" s="9">
        <f t="shared" ca="1" si="46"/>
        <v>0.588379394258986</v>
      </c>
      <c r="E404" s="10">
        <f t="shared" ca="1" si="47"/>
        <v>3</v>
      </c>
      <c r="F404" s="10">
        <f t="shared" ca="1" si="48"/>
        <v>4</v>
      </c>
      <c r="G404" s="9">
        <f t="shared" ca="1" si="49"/>
        <v>0.17069630261226443</v>
      </c>
      <c r="H404" s="10">
        <f t="shared" ca="1" si="50"/>
        <v>9</v>
      </c>
    </row>
    <row r="405" spans="1:8">
      <c r="A405" s="8">
        <v>400</v>
      </c>
      <c r="B405" s="14">
        <f t="shared" ca="1" si="44"/>
        <v>0.74486786782123349</v>
      </c>
      <c r="C405" s="8" t="str">
        <f t="shared" ca="1" si="45"/>
        <v>Carrito</v>
      </c>
      <c r="D405" s="14">
        <f t="shared" ca="1" si="46"/>
        <v>0.69940860871673571</v>
      </c>
      <c r="E405" s="8">
        <f t="shared" ca="1" si="47"/>
        <v>4</v>
      </c>
      <c r="F405" s="8">
        <f t="shared" ca="1" si="48"/>
        <v>5</v>
      </c>
      <c r="G405" s="14">
        <f t="shared" ca="1" si="49"/>
        <v>0.37489494724160033</v>
      </c>
      <c r="H405" s="8">
        <f t="shared" ca="1" si="50"/>
        <v>11</v>
      </c>
    </row>
    <row r="406" spans="1:8">
      <c r="A406" s="8">
        <v>401</v>
      </c>
      <c r="B406" s="9">
        <f t="shared" ca="1" si="44"/>
        <v>0.91411376481756201</v>
      </c>
      <c r="C406" s="10" t="str">
        <f t="shared" ca="1" si="45"/>
        <v>Checkout</v>
      </c>
      <c r="D406" s="9">
        <f t="shared" ca="1" si="46"/>
        <v>0.22878890792596507</v>
      </c>
      <c r="E406" s="10">
        <f t="shared" ca="1" si="47"/>
        <v>2</v>
      </c>
      <c r="F406" s="10">
        <f t="shared" ca="1" si="48"/>
        <v>1</v>
      </c>
      <c r="G406" s="9">
        <f t="shared" ca="1" si="49"/>
        <v>0.22112147675852822</v>
      </c>
      <c r="H406" s="10">
        <f t="shared" ca="1" si="50"/>
        <v>9</v>
      </c>
    </row>
    <row r="407" spans="1:8">
      <c r="A407" s="8">
        <v>402</v>
      </c>
      <c r="B407" s="14">
        <f t="shared" ca="1" si="44"/>
        <v>0.23235828287009241</v>
      </c>
      <c r="C407" s="8" t="str">
        <f t="shared" ca="1" si="45"/>
        <v>Navegación</v>
      </c>
      <c r="D407" s="14">
        <f t="shared" ca="1" si="46"/>
        <v>0.14813946492045804</v>
      </c>
      <c r="E407" s="8">
        <f t="shared" ca="1" si="47"/>
        <v>1</v>
      </c>
      <c r="F407" s="8">
        <f t="shared" ca="1" si="48"/>
        <v>4</v>
      </c>
      <c r="G407" s="14">
        <f t="shared" ca="1" si="49"/>
        <v>0.30029869432355127</v>
      </c>
      <c r="H407" s="8">
        <f t="shared" ca="1" si="50"/>
        <v>10</v>
      </c>
    </row>
    <row r="408" spans="1:8">
      <c r="A408" s="8">
        <v>403</v>
      </c>
      <c r="B408" s="9">
        <f t="shared" ca="1" si="44"/>
        <v>0.6781805863537822</v>
      </c>
      <c r="C408" s="10" t="str">
        <f t="shared" ca="1" si="45"/>
        <v>Carrito</v>
      </c>
      <c r="D408" s="9">
        <f t="shared" ca="1" si="46"/>
        <v>0.58990709549293663</v>
      </c>
      <c r="E408" s="10">
        <f t="shared" ca="1" si="47"/>
        <v>3</v>
      </c>
      <c r="F408" s="10">
        <f t="shared" ca="1" si="48"/>
        <v>4</v>
      </c>
      <c r="G408" s="9">
        <f t="shared" ca="1" si="49"/>
        <v>0.8245095679704173</v>
      </c>
      <c r="H408" s="10">
        <f t="shared" ca="1" si="50"/>
        <v>15</v>
      </c>
    </row>
    <row r="409" spans="1:8">
      <c r="A409" s="8">
        <v>404</v>
      </c>
      <c r="B409" s="14">
        <f t="shared" ca="1" si="44"/>
        <v>0.4110559005963208</v>
      </c>
      <c r="C409" s="8" t="str">
        <f t="shared" ca="1" si="45"/>
        <v>Navegación</v>
      </c>
      <c r="D409" s="14">
        <f t="shared" ca="1" si="46"/>
        <v>4.6548459965320643E-2</v>
      </c>
      <c r="E409" s="8">
        <f t="shared" ca="1" si="47"/>
        <v>1</v>
      </c>
      <c r="F409" s="8">
        <f t="shared" ca="1" si="48"/>
        <v>3</v>
      </c>
      <c r="G409" s="14">
        <f t="shared" ca="1" si="49"/>
        <v>0.46647064521303572</v>
      </c>
      <c r="H409" s="8">
        <f t="shared" ca="1" si="50"/>
        <v>12</v>
      </c>
    </row>
    <row r="410" spans="1:8">
      <c r="A410" s="8">
        <v>405</v>
      </c>
      <c r="B410" s="9">
        <f t="shared" ca="1" si="44"/>
        <v>0.23281842794175267</v>
      </c>
      <c r="C410" s="10" t="str">
        <f t="shared" ca="1" si="45"/>
        <v>Navegación</v>
      </c>
      <c r="D410" s="9">
        <f t="shared" ca="1" si="46"/>
        <v>7.0356194150853479E-2</v>
      </c>
      <c r="E410" s="10">
        <f t="shared" ca="1" si="47"/>
        <v>1</v>
      </c>
      <c r="F410" s="10">
        <f t="shared" ca="1" si="48"/>
        <v>3</v>
      </c>
      <c r="G410" s="9">
        <f t="shared" ca="1" si="49"/>
        <v>0.59927845052684903</v>
      </c>
      <c r="H410" s="10">
        <f t="shared" ca="1" si="50"/>
        <v>13</v>
      </c>
    </row>
    <row r="411" spans="1:8">
      <c r="A411" s="8">
        <v>406</v>
      </c>
      <c r="B411" s="14">
        <f t="shared" ca="1" si="44"/>
        <v>0.37167825975602775</v>
      </c>
      <c r="C411" s="8" t="str">
        <f t="shared" ca="1" si="45"/>
        <v>Navegación</v>
      </c>
      <c r="D411" s="14">
        <f t="shared" ca="1" si="46"/>
        <v>0.59402056703016137</v>
      </c>
      <c r="E411" s="8">
        <f t="shared" ca="1" si="47"/>
        <v>3</v>
      </c>
      <c r="F411" s="8">
        <f t="shared" ca="1" si="48"/>
        <v>1</v>
      </c>
      <c r="G411" s="14">
        <f t="shared" ca="1" si="49"/>
        <v>0.89087066688431671</v>
      </c>
      <c r="H411" s="8">
        <f t="shared" ca="1" si="50"/>
        <v>16</v>
      </c>
    </row>
    <row r="412" spans="1:8">
      <c r="A412" s="8">
        <v>407</v>
      </c>
      <c r="B412" s="9">
        <f t="shared" ca="1" si="44"/>
        <v>0.10963112386911811</v>
      </c>
      <c r="C412" s="10" t="str">
        <f t="shared" ca="1" si="45"/>
        <v>Navegación</v>
      </c>
      <c r="D412" s="9">
        <f t="shared" ca="1" si="46"/>
        <v>0.45857545219683893</v>
      </c>
      <c r="E412" s="10">
        <f t="shared" ca="1" si="47"/>
        <v>3</v>
      </c>
      <c r="F412" s="10">
        <f t="shared" ca="1" si="48"/>
        <v>3</v>
      </c>
      <c r="G412" s="9">
        <f t="shared" ca="1" si="49"/>
        <v>0.90471984674591766</v>
      </c>
      <c r="H412" s="10">
        <f t="shared" ca="1" si="50"/>
        <v>17</v>
      </c>
    </row>
    <row r="413" spans="1:8">
      <c r="A413" s="8">
        <v>408</v>
      </c>
      <c r="B413" s="14">
        <f t="shared" ca="1" si="44"/>
        <v>0.38299030089721808</v>
      </c>
      <c r="C413" s="8" t="str">
        <f t="shared" ca="1" si="45"/>
        <v>Navegación</v>
      </c>
      <c r="D413" s="14">
        <f t="shared" ca="1" si="46"/>
        <v>0.12336798149341999</v>
      </c>
      <c r="E413" s="8">
        <f t="shared" ca="1" si="47"/>
        <v>1</v>
      </c>
      <c r="F413" s="8">
        <f t="shared" ca="1" si="48"/>
        <v>1</v>
      </c>
      <c r="G413" s="14">
        <f t="shared" ca="1" si="49"/>
        <v>0.77487019624912934</v>
      </c>
      <c r="H413" s="8">
        <f t="shared" ca="1" si="50"/>
        <v>15</v>
      </c>
    </row>
    <row r="414" spans="1:8">
      <c r="A414" s="8">
        <v>409</v>
      </c>
      <c r="B414" s="9">
        <f t="shared" ca="1" si="44"/>
        <v>0.95695177300078371</v>
      </c>
      <c r="C414" s="10" t="str">
        <f t="shared" ca="1" si="45"/>
        <v>Checkout</v>
      </c>
      <c r="D414" s="9">
        <f t="shared" ca="1" si="46"/>
        <v>0.61212087680346361</v>
      </c>
      <c r="E414" s="10">
        <f t="shared" ca="1" si="47"/>
        <v>4</v>
      </c>
      <c r="F414" s="10">
        <f t="shared" ca="1" si="48"/>
        <v>4</v>
      </c>
      <c r="G414" s="9">
        <f t="shared" ca="1" si="49"/>
        <v>2.6973265869077001E-2</v>
      </c>
      <c r="H414" s="10">
        <f t="shared" ca="1" si="50"/>
        <v>6</v>
      </c>
    </row>
    <row r="415" spans="1:8">
      <c r="A415" s="8">
        <v>410</v>
      </c>
      <c r="B415" s="14">
        <f t="shared" ca="1" si="44"/>
        <v>0.79167722435158494</v>
      </c>
      <c r="C415" s="8" t="str">
        <f t="shared" ca="1" si="45"/>
        <v>Carrito</v>
      </c>
      <c r="D415" s="14">
        <f t="shared" ca="1" si="46"/>
        <v>0.93247898495994319</v>
      </c>
      <c r="E415" s="8">
        <f t="shared" ca="1" si="47"/>
        <v>5</v>
      </c>
      <c r="F415" s="8">
        <f t="shared" ca="1" si="48"/>
        <v>5</v>
      </c>
      <c r="G415" s="14">
        <f t="shared" ca="1" si="49"/>
        <v>0.26748744030786598</v>
      </c>
      <c r="H415" s="8">
        <f t="shared" ca="1" si="50"/>
        <v>10</v>
      </c>
    </row>
    <row r="416" spans="1:8">
      <c r="A416" s="8">
        <v>411</v>
      </c>
      <c r="B416" s="9">
        <f t="shared" ca="1" si="44"/>
        <v>4.6306739690887055E-2</v>
      </c>
      <c r="C416" s="10" t="str">
        <f t="shared" ca="1" si="45"/>
        <v>Navegación</v>
      </c>
      <c r="D416" s="9">
        <f t="shared" ca="1" si="46"/>
        <v>0.96746856103041934</v>
      </c>
      <c r="E416" s="10">
        <f t="shared" ca="1" si="47"/>
        <v>5</v>
      </c>
      <c r="F416" s="10">
        <f t="shared" ca="1" si="48"/>
        <v>3</v>
      </c>
      <c r="G416" s="9">
        <f t="shared" ca="1" si="49"/>
        <v>0.91644530669539359</v>
      </c>
      <c r="H416" s="10">
        <f t="shared" ca="1" si="50"/>
        <v>17</v>
      </c>
    </row>
    <row r="417" spans="1:8">
      <c r="A417" s="8">
        <v>412</v>
      </c>
      <c r="B417" s="14">
        <f t="shared" ca="1" si="44"/>
        <v>0.13996698078122194</v>
      </c>
      <c r="C417" s="8" t="str">
        <f t="shared" ca="1" si="45"/>
        <v>Navegación</v>
      </c>
      <c r="D417" s="14">
        <f t="shared" ca="1" si="46"/>
        <v>0.54047442494097542</v>
      </c>
      <c r="E417" s="8">
        <f t="shared" ca="1" si="47"/>
        <v>3</v>
      </c>
      <c r="F417" s="8">
        <f t="shared" ca="1" si="48"/>
        <v>3</v>
      </c>
      <c r="G417" s="14">
        <f t="shared" ca="1" si="49"/>
        <v>0.30768904699198352</v>
      </c>
      <c r="H417" s="8">
        <f t="shared" ca="1" si="50"/>
        <v>10</v>
      </c>
    </row>
    <row r="418" spans="1:8">
      <c r="A418" s="8">
        <v>413</v>
      </c>
      <c r="B418" s="9">
        <f t="shared" ca="1" si="44"/>
        <v>0.29335959609840168</v>
      </c>
      <c r="C418" s="10" t="str">
        <f t="shared" ca="1" si="45"/>
        <v>Navegación</v>
      </c>
      <c r="D418" s="9">
        <f t="shared" ca="1" si="46"/>
        <v>0.51271576145091169</v>
      </c>
      <c r="E418" s="10">
        <f t="shared" ca="1" si="47"/>
        <v>3</v>
      </c>
      <c r="F418" s="10">
        <f t="shared" ca="1" si="48"/>
        <v>3</v>
      </c>
      <c r="G418" s="9">
        <f t="shared" ca="1" si="49"/>
        <v>0.55539451668861683</v>
      </c>
      <c r="H418" s="10">
        <f t="shared" ca="1" si="50"/>
        <v>12</v>
      </c>
    </row>
    <row r="419" spans="1:8">
      <c r="A419" s="8">
        <v>414</v>
      </c>
      <c r="B419" s="14">
        <f t="shared" ca="1" si="44"/>
        <v>0.8748959806785338</v>
      </c>
      <c r="C419" s="8" t="str">
        <f t="shared" ca="1" si="45"/>
        <v>Checkout</v>
      </c>
      <c r="D419" s="14">
        <f t="shared" ca="1" si="46"/>
        <v>0.3064368503333057</v>
      </c>
      <c r="E419" s="8">
        <f t="shared" ca="1" si="47"/>
        <v>2</v>
      </c>
      <c r="F419" s="8">
        <f t="shared" ca="1" si="48"/>
        <v>1</v>
      </c>
      <c r="G419" s="14">
        <f t="shared" ca="1" si="49"/>
        <v>0.82289244389296967</v>
      </c>
      <c r="H419" s="8">
        <f t="shared" ca="1" si="50"/>
        <v>15</v>
      </c>
    </row>
    <row r="420" spans="1:8">
      <c r="A420" s="8">
        <v>415</v>
      </c>
      <c r="B420" s="9">
        <f t="shared" ca="1" si="44"/>
        <v>0.7302276204272643</v>
      </c>
      <c r="C420" s="10" t="str">
        <f t="shared" ca="1" si="45"/>
        <v>Carrito</v>
      </c>
      <c r="D420" s="9">
        <f t="shared" ca="1" si="46"/>
        <v>0.21320185998209995</v>
      </c>
      <c r="E420" s="10">
        <f t="shared" ca="1" si="47"/>
        <v>2</v>
      </c>
      <c r="F420" s="10">
        <f t="shared" ca="1" si="48"/>
        <v>2</v>
      </c>
      <c r="G420" s="9">
        <f t="shared" ca="1" si="49"/>
        <v>0.28809962832509506</v>
      </c>
      <c r="H420" s="10">
        <f t="shared" ca="1" si="50"/>
        <v>10</v>
      </c>
    </row>
    <row r="421" spans="1:8">
      <c r="A421" s="8">
        <v>416</v>
      </c>
      <c r="B421" s="14">
        <f t="shared" ca="1" si="44"/>
        <v>0.96863722403252017</v>
      </c>
      <c r="C421" s="8" t="str">
        <f t="shared" ca="1" si="45"/>
        <v>Checkout</v>
      </c>
      <c r="D421" s="14">
        <f t="shared" ca="1" si="46"/>
        <v>0.16062840113684529</v>
      </c>
      <c r="E421" s="8">
        <f t="shared" ca="1" si="47"/>
        <v>1</v>
      </c>
      <c r="F421" s="8">
        <f t="shared" ca="1" si="48"/>
        <v>5</v>
      </c>
      <c r="G421" s="14">
        <f t="shared" ca="1" si="49"/>
        <v>0.7740136088157471</v>
      </c>
      <c r="H421" s="8">
        <f t="shared" ca="1" si="50"/>
        <v>15</v>
      </c>
    </row>
    <row r="422" spans="1:8">
      <c r="A422" s="8">
        <v>417</v>
      </c>
      <c r="B422" s="9">
        <f t="shared" ca="1" si="44"/>
        <v>9.8270411783094702E-2</v>
      </c>
      <c r="C422" s="10" t="str">
        <f t="shared" ca="1" si="45"/>
        <v>Navegación</v>
      </c>
      <c r="D422" s="9">
        <f t="shared" ca="1" si="46"/>
        <v>0.25695310567315011</v>
      </c>
      <c r="E422" s="10">
        <f t="shared" ca="1" si="47"/>
        <v>2</v>
      </c>
      <c r="F422" s="10">
        <f t="shared" ca="1" si="48"/>
        <v>3</v>
      </c>
      <c r="G422" s="9">
        <f t="shared" ca="1" si="49"/>
        <v>4.9799438669769103E-2</v>
      </c>
      <c r="H422" s="10">
        <f t="shared" ca="1" si="50"/>
        <v>7</v>
      </c>
    </row>
    <row r="423" spans="1:8">
      <c r="A423" s="8">
        <v>418</v>
      </c>
      <c r="B423" s="14">
        <f t="shared" ca="1" si="44"/>
        <v>0.38712705486497934</v>
      </c>
      <c r="C423" s="8" t="str">
        <f t="shared" ca="1" si="45"/>
        <v>Navegación</v>
      </c>
      <c r="D423" s="14">
        <f t="shared" ca="1" si="46"/>
        <v>0.46188062849495659</v>
      </c>
      <c r="E423" s="8">
        <f t="shared" ca="1" si="47"/>
        <v>3</v>
      </c>
      <c r="F423" s="8">
        <f t="shared" ca="1" si="48"/>
        <v>5</v>
      </c>
      <c r="G423" s="14">
        <f t="shared" ca="1" si="49"/>
        <v>0.42923851769182308</v>
      </c>
      <c r="H423" s="8">
        <f t="shared" ca="1" si="50"/>
        <v>11</v>
      </c>
    </row>
    <row r="424" spans="1:8">
      <c r="A424" s="8">
        <v>419</v>
      </c>
      <c r="B424" s="9">
        <f t="shared" ca="1" si="44"/>
        <v>0.29988672840839692</v>
      </c>
      <c r="C424" s="10" t="str">
        <f t="shared" ca="1" si="45"/>
        <v>Navegación</v>
      </c>
      <c r="D424" s="9">
        <f t="shared" ca="1" si="46"/>
        <v>0.16687602032236637</v>
      </c>
      <c r="E424" s="10">
        <f t="shared" ca="1" si="47"/>
        <v>1</v>
      </c>
      <c r="F424" s="10">
        <f t="shared" ca="1" si="48"/>
        <v>3</v>
      </c>
      <c r="G424" s="9">
        <f t="shared" ca="1" si="49"/>
        <v>0.59939113134180089</v>
      </c>
      <c r="H424" s="10">
        <f t="shared" ca="1" si="50"/>
        <v>13</v>
      </c>
    </row>
    <row r="425" spans="1:8">
      <c r="A425" s="8">
        <v>420</v>
      </c>
      <c r="B425" s="14">
        <f t="shared" ca="1" si="44"/>
        <v>0.95551751263338058</v>
      </c>
      <c r="C425" s="8" t="str">
        <f t="shared" ca="1" si="45"/>
        <v>Checkout</v>
      </c>
      <c r="D425" s="14">
        <f t="shared" ca="1" si="46"/>
        <v>0.83555504525636104</v>
      </c>
      <c r="E425" s="8">
        <f t="shared" ca="1" si="47"/>
        <v>5</v>
      </c>
      <c r="F425" s="8">
        <f t="shared" ca="1" si="48"/>
        <v>2</v>
      </c>
      <c r="G425" s="14">
        <f t="shared" ca="1" si="49"/>
        <v>0.5547540260825452</v>
      </c>
      <c r="H425" s="8">
        <f t="shared" ca="1" si="50"/>
        <v>12</v>
      </c>
    </row>
    <row r="426" spans="1:8">
      <c r="A426" s="8">
        <v>421</v>
      </c>
      <c r="B426" s="9">
        <f t="shared" ca="1" si="44"/>
        <v>0.6520969262016032</v>
      </c>
      <c r="C426" s="10" t="str">
        <f t="shared" ca="1" si="45"/>
        <v>Carrito</v>
      </c>
      <c r="D426" s="9">
        <f t="shared" ca="1" si="46"/>
        <v>0.54319819692104598</v>
      </c>
      <c r="E426" s="10">
        <f t="shared" ca="1" si="47"/>
        <v>3</v>
      </c>
      <c r="F426" s="10">
        <f t="shared" ca="1" si="48"/>
        <v>4</v>
      </c>
      <c r="G426" s="9">
        <f t="shared" ca="1" si="49"/>
        <v>0.47992783875374323</v>
      </c>
      <c r="H426" s="10">
        <f t="shared" ca="1" si="50"/>
        <v>12</v>
      </c>
    </row>
    <row r="427" spans="1:8">
      <c r="A427" s="8">
        <v>422</v>
      </c>
      <c r="B427" s="14">
        <f t="shared" ca="1" si="44"/>
        <v>0.32849536725494621</v>
      </c>
      <c r="C427" s="8" t="str">
        <f t="shared" ca="1" si="45"/>
        <v>Navegación</v>
      </c>
      <c r="D427" s="14">
        <f t="shared" ca="1" si="46"/>
        <v>0.53221635930844213</v>
      </c>
      <c r="E427" s="8">
        <f t="shared" ca="1" si="47"/>
        <v>3</v>
      </c>
      <c r="F427" s="8">
        <f t="shared" ca="1" si="48"/>
        <v>3</v>
      </c>
      <c r="G427" s="14">
        <f t="shared" ca="1" si="49"/>
        <v>3.7825769694339595E-2</v>
      </c>
      <c r="H427" s="8">
        <f t="shared" ca="1" si="50"/>
        <v>6</v>
      </c>
    </row>
    <row r="428" spans="1:8">
      <c r="A428" s="8">
        <v>423</v>
      </c>
      <c r="B428" s="9">
        <f t="shared" ca="1" si="44"/>
        <v>0.35217043426427963</v>
      </c>
      <c r="C428" s="10" t="str">
        <f t="shared" ca="1" si="45"/>
        <v>Navegación</v>
      </c>
      <c r="D428" s="9">
        <f t="shared" ca="1" si="46"/>
        <v>0.33310563553630912</v>
      </c>
      <c r="E428" s="10">
        <f t="shared" ca="1" si="47"/>
        <v>2</v>
      </c>
      <c r="F428" s="10">
        <f t="shared" ca="1" si="48"/>
        <v>5</v>
      </c>
      <c r="G428" s="9">
        <f t="shared" ca="1" si="49"/>
        <v>0.92082367354302508</v>
      </c>
      <c r="H428" s="10">
        <f t="shared" ca="1" si="50"/>
        <v>17</v>
      </c>
    </row>
    <row r="429" spans="1:8">
      <c r="A429" s="8">
        <v>424</v>
      </c>
      <c r="B429" s="14">
        <f t="shared" ca="1" si="44"/>
        <v>8.3074247972744875E-2</v>
      </c>
      <c r="C429" s="8" t="str">
        <f t="shared" ca="1" si="45"/>
        <v>Navegación</v>
      </c>
      <c r="D429" s="14">
        <f t="shared" ca="1" si="46"/>
        <v>0.24503885127141101</v>
      </c>
      <c r="E429" s="8">
        <f t="shared" ca="1" si="47"/>
        <v>2</v>
      </c>
      <c r="F429" s="8">
        <f t="shared" ca="1" si="48"/>
        <v>3</v>
      </c>
      <c r="G429" s="14">
        <f t="shared" ca="1" si="49"/>
        <v>0.63458541326067486</v>
      </c>
      <c r="H429" s="8">
        <f t="shared" ca="1" si="50"/>
        <v>13</v>
      </c>
    </row>
    <row r="430" spans="1:8">
      <c r="A430" s="8">
        <v>425</v>
      </c>
      <c r="B430" s="9">
        <f t="shared" ca="1" si="44"/>
        <v>0.95017301415745681</v>
      </c>
      <c r="C430" s="10" t="str">
        <f t="shared" ca="1" si="45"/>
        <v>Checkout</v>
      </c>
      <c r="D430" s="9">
        <f t="shared" ca="1" si="46"/>
        <v>0.64865421662553213</v>
      </c>
      <c r="E430" s="10">
        <f t="shared" ca="1" si="47"/>
        <v>4</v>
      </c>
      <c r="F430" s="10">
        <f t="shared" ca="1" si="48"/>
        <v>5</v>
      </c>
      <c r="G430" s="9">
        <f t="shared" ca="1" si="49"/>
        <v>0.30549746616507367</v>
      </c>
      <c r="H430" s="10">
        <f t="shared" ca="1" si="50"/>
        <v>10</v>
      </c>
    </row>
    <row r="431" spans="1:8">
      <c r="A431" s="8">
        <v>426</v>
      </c>
      <c r="B431" s="14">
        <f t="shared" ca="1" si="44"/>
        <v>0.58235448552650249</v>
      </c>
      <c r="C431" s="8" t="str">
        <f t="shared" ca="1" si="45"/>
        <v>Carrito</v>
      </c>
      <c r="D431" s="14">
        <f t="shared" ca="1" si="46"/>
        <v>0.581689002819887</v>
      </c>
      <c r="E431" s="8">
        <f t="shared" ca="1" si="47"/>
        <v>3</v>
      </c>
      <c r="F431" s="8">
        <f t="shared" ca="1" si="48"/>
        <v>5</v>
      </c>
      <c r="G431" s="14">
        <f t="shared" ca="1" si="49"/>
        <v>0.56871913303713395</v>
      </c>
      <c r="H431" s="8">
        <f t="shared" ca="1" si="50"/>
        <v>12</v>
      </c>
    </row>
    <row r="432" spans="1:8">
      <c r="A432" s="8">
        <v>427</v>
      </c>
      <c r="B432" s="9">
        <f t="shared" ca="1" si="44"/>
        <v>0.54499022753323612</v>
      </c>
      <c r="C432" s="10" t="str">
        <f t="shared" ca="1" si="45"/>
        <v>Navegación</v>
      </c>
      <c r="D432" s="9">
        <f t="shared" ca="1" si="46"/>
        <v>0.88618323241435093</v>
      </c>
      <c r="E432" s="10">
        <f t="shared" ca="1" si="47"/>
        <v>5</v>
      </c>
      <c r="F432" s="10">
        <f t="shared" ca="1" si="48"/>
        <v>1</v>
      </c>
      <c r="G432" s="9">
        <f t="shared" ca="1" si="49"/>
        <v>0.86442976411679862</v>
      </c>
      <c r="H432" s="10">
        <f t="shared" ca="1" si="50"/>
        <v>16</v>
      </c>
    </row>
    <row r="433" spans="1:8">
      <c r="A433" s="8">
        <v>428</v>
      </c>
      <c r="B433" s="14">
        <f t="shared" ca="1" si="44"/>
        <v>0.58941152998467305</v>
      </c>
      <c r="C433" s="8" t="str">
        <f t="shared" ca="1" si="45"/>
        <v>Carrito</v>
      </c>
      <c r="D433" s="14">
        <f t="shared" ca="1" si="46"/>
        <v>0.9836375878885445</v>
      </c>
      <c r="E433" s="8">
        <f t="shared" ca="1" si="47"/>
        <v>5</v>
      </c>
      <c r="F433" s="8">
        <f t="shared" ca="1" si="48"/>
        <v>1</v>
      </c>
      <c r="G433" s="14">
        <f t="shared" ca="1" si="49"/>
        <v>0.58013107366491512</v>
      </c>
      <c r="H433" s="8">
        <f t="shared" ca="1" si="50"/>
        <v>13</v>
      </c>
    </row>
    <row r="434" spans="1:8">
      <c r="A434" s="8">
        <v>429</v>
      </c>
      <c r="B434" s="9">
        <f t="shared" ca="1" si="44"/>
        <v>0.54861927554498957</v>
      </c>
      <c r="C434" s="10" t="str">
        <f t="shared" ca="1" si="45"/>
        <v>Navegación</v>
      </c>
      <c r="D434" s="9">
        <f t="shared" ca="1" si="46"/>
        <v>0.63988047153998895</v>
      </c>
      <c r="E434" s="10">
        <f t="shared" ca="1" si="47"/>
        <v>4</v>
      </c>
      <c r="F434" s="10">
        <f t="shared" ca="1" si="48"/>
        <v>5</v>
      </c>
      <c r="G434" s="9">
        <f t="shared" ca="1" si="49"/>
        <v>0.47762698653949676</v>
      </c>
      <c r="H434" s="10">
        <f t="shared" ca="1" si="50"/>
        <v>12</v>
      </c>
    </row>
    <row r="435" spans="1:8">
      <c r="A435" s="8">
        <v>430</v>
      </c>
      <c r="B435" s="14">
        <f t="shared" ca="1" si="44"/>
        <v>0.85930691684981952</v>
      </c>
      <c r="C435" s="8" t="str">
        <f t="shared" ca="1" si="45"/>
        <v>Checkout</v>
      </c>
      <c r="D435" s="14">
        <f t="shared" ca="1" si="46"/>
        <v>0.58705375020127881</v>
      </c>
      <c r="E435" s="8">
        <f t="shared" ca="1" si="47"/>
        <v>3</v>
      </c>
      <c r="F435" s="8">
        <f t="shared" ca="1" si="48"/>
        <v>1</v>
      </c>
      <c r="G435" s="14">
        <f t="shared" ca="1" si="49"/>
        <v>0.52965933645034624</v>
      </c>
      <c r="H435" s="8">
        <f t="shared" ca="1" si="50"/>
        <v>12</v>
      </c>
    </row>
    <row r="436" spans="1:8">
      <c r="A436" s="8">
        <v>431</v>
      </c>
      <c r="B436" s="9">
        <f t="shared" ca="1" si="44"/>
        <v>0.82193480124398588</v>
      </c>
      <c r="C436" s="10" t="str">
        <f t="shared" ca="1" si="45"/>
        <v>Carrito</v>
      </c>
      <c r="D436" s="9">
        <f t="shared" ca="1" si="46"/>
        <v>0.6965323953261523</v>
      </c>
      <c r="E436" s="10">
        <f t="shared" ca="1" si="47"/>
        <v>4</v>
      </c>
      <c r="F436" s="10">
        <f t="shared" ca="1" si="48"/>
        <v>1</v>
      </c>
      <c r="G436" s="9">
        <f t="shared" ca="1" si="49"/>
        <v>0.54187353326142063</v>
      </c>
      <c r="H436" s="10">
        <f t="shared" ca="1" si="50"/>
        <v>12</v>
      </c>
    </row>
    <row r="437" spans="1:8">
      <c r="A437" s="8">
        <v>432</v>
      </c>
      <c r="B437" s="14">
        <f t="shared" ca="1" si="44"/>
        <v>0.55328202311244856</v>
      </c>
      <c r="C437" s="8" t="str">
        <f t="shared" ca="1" si="45"/>
        <v>Carrito</v>
      </c>
      <c r="D437" s="14">
        <f t="shared" ca="1" si="46"/>
        <v>0.41952753461011372</v>
      </c>
      <c r="E437" s="8">
        <f t="shared" ca="1" si="47"/>
        <v>3</v>
      </c>
      <c r="F437" s="8">
        <f t="shared" ca="1" si="48"/>
        <v>2</v>
      </c>
      <c r="G437" s="14">
        <f t="shared" ca="1" si="49"/>
        <v>9.105015422891527E-2</v>
      </c>
      <c r="H437" s="8">
        <f t="shared" ca="1" si="50"/>
        <v>8</v>
      </c>
    </row>
    <row r="438" spans="1:8">
      <c r="A438" s="8">
        <v>433</v>
      </c>
      <c r="B438" s="9">
        <f t="shared" ca="1" si="44"/>
        <v>0.27179577674365663</v>
      </c>
      <c r="C438" s="10" t="str">
        <f t="shared" ca="1" si="45"/>
        <v>Navegación</v>
      </c>
      <c r="D438" s="9">
        <f t="shared" ca="1" si="46"/>
        <v>0.93256466058642251</v>
      </c>
      <c r="E438" s="10">
        <f t="shared" ca="1" si="47"/>
        <v>5</v>
      </c>
      <c r="F438" s="10">
        <f t="shared" ca="1" si="48"/>
        <v>1</v>
      </c>
      <c r="G438" s="9">
        <f t="shared" ca="1" si="49"/>
        <v>0.33061983160702946</v>
      </c>
      <c r="H438" s="10">
        <f t="shared" ca="1" si="50"/>
        <v>10</v>
      </c>
    </row>
    <row r="439" spans="1:8">
      <c r="A439" s="8">
        <v>434</v>
      </c>
      <c r="B439" s="14">
        <f t="shared" ca="1" si="44"/>
        <v>0.45199139149734591</v>
      </c>
      <c r="C439" s="8" t="str">
        <f t="shared" ca="1" si="45"/>
        <v>Navegación</v>
      </c>
      <c r="D439" s="14">
        <f t="shared" ca="1" si="46"/>
        <v>0.25938046999366637</v>
      </c>
      <c r="E439" s="8">
        <f t="shared" ca="1" si="47"/>
        <v>2</v>
      </c>
      <c r="F439" s="8">
        <f t="shared" ca="1" si="48"/>
        <v>2</v>
      </c>
      <c r="G439" s="14">
        <f t="shared" ca="1" si="49"/>
        <v>0.39168116466956759</v>
      </c>
      <c r="H439" s="8">
        <f t="shared" ca="1" si="50"/>
        <v>11</v>
      </c>
    </row>
    <row r="440" spans="1:8">
      <c r="A440" s="8">
        <v>435</v>
      </c>
      <c r="B440" s="9">
        <f t="shared" ca="1" si="44"/>
        <v>0.27400563448576509</v>
      </c>
      <c r="C440" s="10" t="str">
        <f t="shared" ca="1" si="45"/>
        <v>Navegación</v>
      </c>
      <c r="D440" s="9">
        <f t="shared" ca="1" si="46"/>
        <v>7.0437342553592686E-2</v>
      </c>
      <c r="E440" s="10">
        <f t="shared" ca="1" si="47"/>
        <v>1</v>
      </c>
      <c r="F440" s="10">
        <f t="shared" ca="1" si="48"/>
        <v>4</v>
      </c>
      <c r="G440" s="9">
        <f t="shared" ca="1" si="49"/>
        <v>0.68793703559544361</v>
      </c>
      <c r="H440" s="10">
        <f t="shared" ca="1" si="50"/>
        <v>14</v>
      </c>
    </row>
    <row r="441" spans="1:8">
      <c r="A441" s="8">
        <v>436</v>
      </c>
      <c r="B441" s="14">
        <f t="shared" ca="1" si="44"/>
        <v>0.92666776224170944</v>
      </c>
      <c r="C441" s="8" t="str">
        <f t="shared" ca="1" si="45"/>
        <v>Checkout</v>
      </c>
      <c r="D441" s="14">
        <f t="shared" ca="1" si="46"/>
        <v>0.89157139694100318</v>
      </c>
      <c r="E441" s="8">
        <f t="shared" ca="1" si="47"/>
        <v>5</v>
      </c>
      <c r="F441" s="8">
        <f t="shared" ca="1" si="48"/>
        <v>4</v>
      </c>
      <c r="G441" s="14">
        <f t="shared" ca="1" si="49"/>
        <v>0.59028950334910235</v>
      </c>
      <c r="H441" s="8">
        <f t="shared" ca="1" si="50"/>
        <v>13</v>
      </c>
    </row>
    <row r="442" spans="1:8">
      <c r="A442" s="8">
        <v>437</v>
      </c>
      <c r="B442" s="9">
        <f t="shared" ca="1" si="44"/>
        <v>0.59376292236552353</v>
      </c>
      <c r="C442" s="10" t="str">
        <f t="shared" ca="1" si="45"/>
        <v>Carrito</v>
      </c>
      <c r="D442" s="9">
        <f t="shared" ca="1" si="46"/>
        <v>0.86326765562226737</v>
      </c>
      <c r="E442" s="10">
        <f t="shared" ca="1" si="47"/>
        <v>5</v>
      </c>
      <c r="F442" s="10">
        <f t="shared" ca="1" si="48"/>
        <v>5</v>
      </c>
      <c r="G442" s="9">
        <f t="shared" ca="1" si="49"/>
        <v>0.52022486259042366</v>
      </c>
      <c r="H442" s="10">
        <f t="shared" ca="1" si="50"/>
        <v>12</v>
      </c>
    </row>
    <row r="443" spans="1:8">
      <c r="A443" s="8">
        <v>438</v>
      </c>
      <c r="B443" s="14">
        <f t="shared" ca="1" si="44"/>
        <v>0.32329544798161591</v>
      </c>
      <c r="C443" s="8" t="str">
        <f t="shared" ca="1" si="45"/>
        <v>Navegación</v>
      </c>
      <c r="D443" s="14">
        <f t="shared" ca="1" si="46"/>
        <v>0.73961554708765487</v>
      </c>
      <c r="E443" s="8">
        <f t="shared" ca="1" si="47"/>
        <v>4</v>
      </c>
      <c r="F443" s="8">
        <f t="shared" ca="1" si="48"/>
        <v>4</v>
      </c>
      <c r="G443" s="14">
        <f t="shared" ca="1" si="49"/>
        <v>0.41631069237645069</v>
      </c>
      <c r="H443" s="8">
        <f t="shared" ca="1" si="50"/>
        <v>11</v>
      </c>
    </row>
    <row r="444" spans="1:8">
      <c r="A444" s="8">
        <v>439</v>
      </c>
      <c r="B444" s="9">
        <f t="shared" ca="1" si="44"/>
        <v>0.73864092843826745</v>
      </c>
      <c r="C444" s="10" t="str">
        <f t="shared" ca="1" si="45"/>
        <v>Carrito</v>
      </c>
      <c r="D444" s="9">
        <f t="shared" ca="1" si="46"/>
        <v>0.31646153517943409</v>
      </c>
      <c r="E444" s="10">
        <f t="shared" ca="1" si="47"/>
        <v>2</v>
      </c>
      <c r="F444" s="10">
        <f t="shared" ca="1" si="48"/>
        <v>3</v>
      </c>
      <c r="G444" s="9">
        <f t="shared" ca="1" si="49"/>
        <v>6.6757797471370672E-3</v>
      </c>
      <c r="H444" s="10">
        <f t="shared" ca="1" si="50"/>
        <v>4</v>
      </c>
    </row>
    <row r="445" spans="1:8">
      <c r="A445" s="8">
        <v>440</v>
      </c>
      <c r="B445" s="14">
        <f t="shared" ca="1" si="44"/>
        <v>0.29924393209065203</v>
      </c>
      <c r="C445" s="8" t="str">
        <f t="shared" ca="1" si="45"/>
        <v>Navegación</v>
      </c>
      <c r="D445" s="14">
        <f t="shared" ca="1" si="46"/>
        <v>0.47484205344638575</v>
      </c>
      <c r="E445" s="8">
        <f t="shared" ca="1" si="47"/>
        <v>3</v>
      </c>
      <c r="F445" s="8">
        <f t="shared" ca="1" si="48"/>
        <v>5</v>
      </c>
      <c r="G445" s="14">
        <f t="shared" ca="1" si="49"/>
        <v>0.78025932688313082</v>
      </c>
      <c r="H445" s="8">
        <f t="shared" ca="1" si="50"/>
        <v>15</v>
      </c>
    </row>
    <row r="446" spans="1:8">
      <c r="A446" s="8">
        <v>441</v>
      </c>
      <c r="B446" s="9">
        <f t="shared" ca="1" si="44"/>
        <v>0.92285545792078683</v>
      </c>
      <c r="C446" s="10" t="str">
        <f t="shared" ca="1" si="45"/>
        <v>Checkout</v>
      </c>
      <c r="D446" s="9">
        <f t="shared" ca="1" si="46"/>
        <v>7.1747346632148878E-2</v>
      </c>
      <c r="E446" s="10">
        <f t="shared" ca="1" si="47"/>
        <v>1</v>
      </c>
      <c r="F446" s="10">
        <f t="shared" ca="1" si="48"/>
        <v>3</v>
      </c>
      <c r="G446" s="9">
        <f t="shared" ca="1" si="49"/>
        <v>0.69286566954811979</v>
      </c>
      <c r="H446" s="10">
        <f t="shared" ca="1" si="50"/>
        <v>14</v>
      </c>
    </row>
    <row r="447" spans="1:8">
      <c r="A447" s="8">
        <v>442</v>
      </c>
      <c r="B447" s="14">
        <f t="shared" ca="1" si="44"/>
        <v>0.21723060542192052</v>
      </c>
      <c r="C447" s="8" t="str">
        <f t="shared" ca="1" si="45"/>
        <v>Navegación</v>
      </c>
      <c r="D447" s="14">
        <f t="shared" ca="1" si="46"/>
        <v>0.40773212340464482</v>
      </c>
      <c r="E447" s="8">
        <f t="shared" ca="1" si="47"/>
        <v>3</v>
      </c>
      <c r="F447" s="8">
        <f t="shared" ca="1" si="48"/>
        <v>4</v>
      </c>
      <c r="G447" s="14">
        <f t="shared" ca="1" si="49"/>
        <v>0.17512653627902075</v>
      </c>
      <c r="H447" s="8">
        <f t="shared" ca="1" si="50"/>
        <v>9</v>
      </c>
    </row>
    <row r="448" spans="1:8">
      <c r="A448" s="8">
        <v>443</v>
      </c>
      <c r="B448" s="9">
        <f t="shared" ca="1" si="44"/>
        <v>0.73033931725541534</v>
      </c>
      <c r="C448" s="10" t="str">
        <f t="shared" ca="1" si="45"/>
        <v>Carrito</v>
      </c>
      <c r="D448" s="9">
        <f t="shared" ca="1" si="46"/>
        <v>8.8537846477478754E-2</v>
      </c>
      <c r="E448" s="10">
        <f t="shared" ca="1" si="47"/>
        <v>1</v>
      </c>
      <c r="F448" s="10">
        <f t="shared" ca="1" si="48"/>
        <v>4</v>
      </c>
      <c r="G448" s="9">
        <f t="shared" ca="1" si="49"/>
        <v>0.56872781044515885</v>
      </c>
      <c r="H448" s="10">
        <f t="shared" ca="1" si="50"/>
        <v>12</v>
      </c>
    </row>
    <row r="449" spans="1:8">
      <c r="A449" s="8">
        <v>444</v>
      </c>
      <c r="B449" s="14">
        <f t="shared" ca="1" si="44"/>
        <v>0.45103641704496844</v>
      </c>
      <c r="C449" s="8" t="str">
        <f t="shared" ca="1" si="45"/>
        <v>Navegación</v>
      </c>
      <c r="D449" s="14">
        <f t="shared" ca="1" si="46"/>
        <v>0.6372014735367052</v>
      </c>
      <c r="E449" s="8">
        <f t="shared" ca="1" si="47"/>
        <v>4</v>
      </c>
      <c r="F449" s="8">
        <f t="shared" ca="1" si="48"/>
        <v>3</v>
      </c>
      <c r="G449" s="14">
        <f t="shared" ca="1" si="49"/>
        <v>0.74274717936574741</v>
      </c>
      <c r="H449" s="8">
        <f t="shared" ca="1" si="50"/>
        <v>14</v>
      </c>
    </row>
    <row r="450" spans="1:8">
      <c r="A450" s="8">
        <v>445</v>
      </c>
      <c r="B450" s="9">
        <f t="shared" ca="1" si="44"/>
        <v>0.10342562729304761</v>
      </c>
      <c r="C450" s="10" t="str">
        <f t="shared" ca="1" si="45"/>
        <v>Navegación</v>
      </c>
      <c r="D450" s="9">
        <f t="shared" ca="1" si="46"/>
        <v>1.3828096545843827E-2</v>
      </c>
      <c r="E450" s="10">
        <f t="shared" ca="1" si="47"/>
        <v>1</v>
      </c>
      <c r="F450" s="10">
        <f t="shared" ca="1" si="48"/>
        <v>1</v>
      </c>
      <c r="G450" s="9">
        <f t="shared" ca="1" si="49"/>
        <v>0.7915751495899126</v>
      </c>
      <c r="H450" s="10">
        <f t="shared" ca="1" si="50"/>
        <v>15</v>
      </c>
    </row>
    <row r="451" spans="1:8">
      <c r="A451" s="8">
        <v>446</v>
      </c>
      <c r="B451" s="14">
        <f t="shared" ca="1" si="44"/>
        <v>0.45150662461147284</v>
      </c>
      <c r="C451" s="8" t="str">
        <f t="shared" ca="1" si="45"/>
        <v>Navegación</v>
      </c>
      <c r="D451" s="14">
        <f t="shared" ca="1" si="46"/>
        <v>0.87237134580559417</v>
      </c>
      <c r="E451" s="8">
        <f t="shared" ca="1" si="47"/>
        <v>5</v>
      </c>
      <c r="F451" s="8">
        <f t="shared" ca="1" si="48"/>
        <v>4</v>
      </c>
      <c r="G451" s="14">
        <f t="shared" ca="1" si="49"/>
        <v>0.67179978945036178</v>
      </c>
      <c r="H451" s="8">
        <f t="shared" ca="1" si="50"/>
        <v>13</v>
      </c>
    </row>
    <row r="452" spans="1:8">
      <c r="A452" s="8">
        <v>447</v>
      </c>
      <c r="B452" s="9">
        <f t="shared" ca="1" si="44"/>
        <v>0.300590245872425</v>
      </c>
      <c r="C452" s="10" t="str">
        <f t="shared" ca="1" si="45"/>
        <v>Navegación</v>
      </c>
      <c r="D452" s="9">
        <f t="shared" ca="1" si="46"/>
        <v>0.13953275296833512</v>
      </c>
      <c r="E452" s="10">
        <f t="shared" ca="1" si="47"/>
        <v>1</v>
      </c>
      <c r="F452" s="10">
        <f t="shared" ca="1" si="48"/>
        <v>3</v>
      </c>
      <c r="G452" s="9">
        <f t="shared" ca="1" si="49"/>
        <v>0.48494811255833914</v>
      </c>
      <c r="H452" s="10">
        <f t="shared" ca="1" si="50"/>
        <v>12</v>
      </c>
    </row>
    <row r="453" spans="1:8">
      <c r="A453" s="8">
        <v>448</v>
      </c>
      <c r="B453" s="14">
        <f t="shared" ca="1" si="44"/>
        <v>0.22836902174599927</v>
      </c>
      <c r="C453" s="8" t="str">
        <f t="shared" ca="1" si="45"/>
        <v>Navegación</v>
      </c>
      <c r="D453" s="14">
        <f t="shared" ca="1" si="46"/>
        <v>0.97958902487783883</v>
      </c>
      <c r="E453" s="8">
        <f t="shared" ca="1" si="47"/>
        <v>5</v>
      </c>
      <c r="F453" s="8">
        <f t="shared" ca="1" si="48"/>
        <v>2</v>
      </c>
      <c r="G453" s="14">
        <f t="shared" ca="1" si="49"/>
        <v>0.72372121974231696</v>
      </c>
      <c r="H453" s="8">
        <f t="shared" ca="1" si="50"/>
        <v>14</v>
      </c>
    </row>
    <row r="454" spans="1:8">
      <c r="A454" s="8">
        <v>449</v>
      </c>
      <c r="B454" s="9">
        <f t="shared" ref="B454:B517" ca="1" si="51">RAND()</f>
        <v>0.58072030553274667</v>
      </c>
      <c r="C454" s="10" t="str">
        <f t="shared" ref="C454:C517" ca="1" si="52">VLOOKUP(B454, $J$6:$K$8, 2, TRUE)</f>
        <v>Carrito</v>
      </c>
      <c r="D454" s="9">
        <f t="shared" ref="D454:D517" ca="1" si="53">RAND()</f>
        <v>0.46710067266729449</v>
      </c>
      <c r="E454" s="10">
        <f t="shared" ref="E454:E517" ca="1" si="54">INT(D454*($O$7-$O$6+1))+$O$6</f>
        <v>3</v>
      </c>
      <c r="F454" s="10">
        <f t="shared" ref="F454:F517" ca="1" si="55">RANDBETWEEN($O$6, $O$7)</f>
        <v>4</v>
      </c>
      <c r="G454" s="9">
        <f t="shared" ref="G454:G517" ca="1" si="56">RAND()</f>
        <v>0.84745121379889887</v>
      </c>
      <c r="H454" s="10">
        <f t="shared" ref="H454:H517" ca="1" si="57">VLOOKUP(G454, $W$5:$X$39, 2, TRUE)</f>
        <v>16</v>
      </c>
    </row>
    <row r="455" spans="1:8">
      <c r="A455" s="8">
        <v>450</v>
      </c>
      <c r="B455" s="14">
        <f t="shared" ca="1" si="51"/>
        <v>0.53418218909193838</v>
      </c>
      <c r="C455" s="8" t="str">
        <f t="shared" ca="1" si="52"/>
        <v>Navegación</v>
      </c>
      <c r="D455" s="14">
        <f t="shared" ca="1" si="53"/>
        <v>0.67145116480721301</v>
      </c>
      <c r="E455" s="8">
        <f t="shared" ca="1" si="54"/>
        <v>4</v>
      </c>
      <c r="F455" s="8">
        <f t="shared" ca="1" si="55"/>
        <v>4</v>
      </c>
      <c r="G455" s="14">
        <f t="shared" ca="1" si="56"/>
        <v>0.32688306329837502</v>
      </c>
      <c r="H455" s="8">
        <f t="shared" ca="1" si="57"/>
        <v>10</v>
      </c>
    </row>
    <row r="456" spans="1:8">
      <c r="A456" s="8">
        <v>451</v>
      </c>
      <c r="B456" s="9">
        <f t="shared" ca="1" si="51"/>
        <v>0.9650325553377207</v>
      </c>
      <c r="C456" s="10" t="str">
        <f t="shared" ca="1" si="52"/>
        <v>Checkout</v>
      </c>
      <c r="D456" s="9">
        <f t="shared" ca="1" si="53"/>
        <v>0.79882831581070057</v>
      </c>
      <c r="E456" s="10">
        <f t="shared" ca="1" si="54"/>
        <v>4</v>
      </c>
      <c r="F456" s="10">
        <f t="shared" ca="1" si="55"/>
        <v>4</v>
      </c>
      <c r="G456" s="9">
        <f t="shared" ca="1" si="56"/>
        <v>0.464868507081166</v>
      </c>
      <c r="H456" s="10">
        <f t="shared" ca="1" si="57"/>
        <v>12</v>
      </c>
    </row>
    <row r="457" spans="1:8">
      <c r="A457" s="8">
        <v>452</v>
      </c>
      <c r="B457" s="14">
        <f t="shared" ca="1" si="51"/>
        <v>0.97287677864568334</v>
      </c>
      <c r="C457" s="8" t="str">
        <f t="shared" ca="1" si="52"/>
        <v>Checkout</v>
      </c>
      <c r="D457" s="14">
        <f t="shared" ca="1" si="53"/>
        <v>0.1737442386136947</v>
      </c>
      <c r="E457" s="8">
        <f t="shared" ca="1" si="54"/>
        <v>1</v>
      </c>
      <c r="F457" s="8">
        <f t="shared" ca="1" si="55"/>
        <v>5</v>
      </c>
      <c r="G457" s="14">
        <f t="shared" ca="1" si="56"/>
        <v>0.54502768705303251</v>
      </c>
      <c r="H457" s="8">
        <f t="shared" ca="1" si="57"/>
        <v>12</v>
      </c>
    </row>
    <row r="458" spans="1:8">
      <c r="A458" s="8">
        <v>453</v>
      </c>
      <c r="B458" s="9">
        <f t="shared" ca="1" si="51"/>
        <v>8.9367393414900298E-2</v>
      </c>
      <c r="C458" s="10" t="str">
        <f t="shared" ca="1" si="52"/>
        <v>Navegación</v>
      </c>
      <c r="D458" s="9">
        <f t="shared" ca="1" si="53"/>
        <v>0.40575610212133051</v>
      </c>
      <c r="E458" s="10">
        <f t="shared" ca="1" si="54"/>
        <v>3</v>
      </c>
      <c r="F458" s="10">
        <f t="shared" ca="1" si="55"/>
        <v>1</v>
      </c>
      <c r="G458" s="9">
        <f t="shared" ca="1" si="56"/>
        <v>0.75272357360219189</v>
      </c>
      <c r="H458" s="10">
        <f t="shared" ca="1" si="57"/>
        <v>14</v>
      </c>
    </row>
    <row r="459" spans="1:8">
      <c r="A459" s="8">
        <v>454</v>
      </c>
      <c r="B459" s="14">
        <f t="shared" ca="1" si="51"/>
        <v>0.45322665282139341</v>
      </c>
      <c r="C459" s="8" t="str">
        <f t="shared" ca="1" si="52"/>
        <v>Navegación</v>
      </c>
      <c r="D459" s="14">
        <f t="shared" ca="1" si="53"/>
        <v>0.21140574282316338</v>
      </c>
      <c r="E459" s="8">
        <f t="shared" ca="1" si="54"/>
        <v>2</v>
      </c>
      <c r="F459" s="8">
        <f t="shared" ca="1" si="55"/>
        <v>4</v>
      </c>
      <c r="G459" s="14">
        <f t="shared" ca="1" si="56"/>
        <v>0.79648983080607727</v>
      </c>
      <c r="H459" s="8">
        <f t="shared" ca="1" si="57"/>
        <v>15</v>
      </c>
    </row>
    <row r="460" spans="1:8">
      <c r="A460" s="8">
        <v>455</v>
      </c>
      <c r="B460" s="9">
        <f t="shared" ca="1" si="51"/>
        <v>0.31413840594702946</v>
      </c>
      <c r="C460" s="10" t="str">
        <f t="shared" ca="1" si="52"/>
        <v>Navegación</v>
      </c>
      <c r="D460" s="9">
        <f t="shared" ca="1" si="53"/>
        <v>0.14498289436443978</v>
      </c>
      <c r="E460" s="10">
        <f t="shared" ca="1" si="54"/>
        <v>1</v>
      </c>
      <c r="F460" s="10">
        <f t="shared" ca="1" si="55"/>
        <v>2</v>
      </c>
      <c r="G460" s="9">
        <f t="shared" ca="1" si="56"/>
        <v>0.88402811959466665</v>
      </c>
      <c r="H460" s="10">
        <f t="shared" ca="1" si="57"/>
        <v>16</v>
      </c>
    </row>
    <row r="461" spans="1:8">
      <c r="A461" s="8">
        <v>456</v>
      </c>
      <c r="B461" s="14">
        <f t="shared" ca="1" si="51"/>
        <v>1.3149320803375497E-2</v>
      </c>
      <c r="C461" s="8" t="str">
        <f t="shared" ca="1" si="52"/>
        <v>Navegación</v>
      </c>
      <c r="D461" s="14">
        <f t="shared" ca="1" si="53"/>
        <v>0.95293746837872073</v>
      </c>
      <c r="E461" s="8">
        <f t="shared" ca="1" si="54"/>
        <v>5</v>
      </c>
      <c r="F461" s="8">
        <f t="shared" ca="1" si="55"/>
        <v>4</v>
      </c>
      <c r="G461" s="14">
        <f t="shared" ca="1" si="56"/>
        <v>0.61152541029399288</v>
      </c>
      <c r="H461" s="8">
        <f t="shared" ca="1" si="57"/>
        <v>13</v>
      </c>
    </row>
    <row r="462" spans="1:8">
      <c r="A462" s="8">
        <v>457</v>
      </c>
      <c r="B462" s="9">
        <f t="shared" ca="1" si="51"/>
        <v>0.60860679073964741</v>
      </c>
      <c r="C462" s="10" t="str">
        <f t="shared" ca="1" si="52"/>
        <v>Carrito</v>
      </c>
      <c r="D462" s="9">
        <f t="shared" ca="1" si="53"/>
        <v>0.80401579008667912</v>
      </c>
      <c r="E462" s="10">
        <f t="shared" ca="1" si="54"/>
        <v>5</v>
      </c>
      <c r="F462" s="10">
        <f t="shared" ca="1" si="55"/>
        <v>4</v>
      </c>
      <c r="G462" s="9">
        <f t="shared" ca="1" si="56"/>
        <v>0.10024186628362186</v>
      </c>
      <c r="H462" s="10">
        <f t="shared" ca="1" si="57"/>
        <v>8</v>
      </c>
    </row>
    <row r="463" spans="1:8">
      <c r="A463" s="8">
        <v>458</v>
      </c>
      <c r="B463" s="14">
        <f t="shared" ca="1" si="51"/>
        <v>0.90115383101877111</v>
      </c>
      <c r="C463" s="8" t="str">
        <f t="shared" ca="1" si="52"/>
        <v>Checkout</v>
      </c>
      <c r="D463" s="14">
        <f t="shared" ca="1" si="53"/>
        <v>0.55517083388668187</v>
      </c>
      <c r="E463" s="8">
        <f t="shared" ca="1" si="54"/>
        <v>3</v>
      </c>
      <c r="F463" s="8">
        <f t="shared" ca="1" si="55"/>
        <v>2</v>
      </c>
      <c r="G463" s="14">
        <f t="shared" ca="1" si="56"/>
        <v>0.37895564578243313</v>
      </c>
      <c r="H463" s="8">
        <f t="shared" ca="1" si="57"/>
        <v>11</v>
      </c>
    </row>
    <row r="464" spans="1:8">
      <c r="A464" s="8">
        <v>459</v>
      </c>
      <c r="B464" s="9">
        <f t="shared" ca="1" si="51"/>
        <v>0.24223262365344977</v>
      </c>
      <c r="C464" s="10" t="str">
        <f t="shared" ca="1" si="52"/>
        <v>Navegación</v>
      </c>
      <c r="D464" s="9">
        <f t="shared" ca="1" si="53"/>
        <v>0.34920314838166899</v>
      </c>
      <c r="E464" s="10">
        <f t="shared" ca="1" si="54"/>
        <v>2</v>
      </c>
      <c r="F464" s="10">
        <f t="shared" ca="1" si="55"/>
        <v>3</v>
      </c>
      <c r="G464" s="9">
        <f t="shared" ca="1" si="56"/>
        <v>0.83415074661787403</v>
      </c>
      <c r="H464" s="10">
        <f t="shared" ca="1" si="57"/>
        <v>15</v>
      </c>
    </row>
    <row r="465" spans="1:8">
      <c r="A465" s="8">
        <v>460</v>
      </c>
      <c r="B465" s="14">
        <f t="shared" ca="1" si="51"/>
        <v>0.68734150816881434</v>
      </c>
      <c r="C465" s="8" t="str">
        <f t="shared" ca="1" si="52"/>
        <v>Carrito</v>
      </c>
      <c r="D465" s="14">
        <f t="shared" ca="1" si="53"/>
        <v>0.22061196155233931</v>
      </c>
      <c r="E465" s="8">
        <f t="shared" ca="1" si="54"/>
        <v>2</v>
      </c>
      <c r="F465" s="8">
        <f t="shared" ca="1" si="55"/>
        <v>5</v>
      </c>
      <c r="G465" s="14">
        <f t="shared" ca="1" si="56"/>
        <v>0.54485145386869316</v>
      </c>
      <c r="H465" s="8">
        <f t="shared" ca="1" si="57"/>
        <v>12</v>
      </c>
    </row>
    <row r="466" spans="1:8">
      <c r="A466" s="8">
        <v>461</v>
      </c>
      <c r="B466" s="9">
        <f t="shared" ca="1" si="51"/>
        <v>0.82764770972420176</v>
      </c>
      <c r="C466" s="10" t="str">
        <f t="shared" ca="1" si="52"/>
        <v>Carrito</v>
      </c>
      <c r="D466" s="9">
        <f t="shared" ca="1" si="53"/>
        <v>0.32480964839764004</v>
      </c>
      <c r="E466" s="10">
        <f t="shared" ca="1" si="54"/>
        <v>2</v>
      </c>
      <c r="F466" s="10">
        <f t="shared" ca="1" si="55"/>
        <v>2</v>
      </c>
      <c r="G466" s="9">
        <f t="shared" ca="1" si="56"/>
        <v>0.81328637564091233</v>
      </c>
      <c r="H466" s="10">
        <f t="shared" ca="1" si="57"/>
        <v>15</v>
      </c>
    </row>
    <row r="467" spans="1:8">
      <c r="A467" s="8">
        <v>462</v>
      </c>
      <c r="B467" s="14">
        <f t="shared" ca="1" si="51"/>
        <v>0.69454289361143051</v>
      </c>
      <c r="C467" s="8" t="str">
        <f t="shared" ca="1" si="52"/>
        <v>Carrito</v>
      </c>
      <c r="D467" s="14">
        <f t="shared" ca="1" si="53"/>
        <v>9.5526589289707475E-2</v>
      </c>
      <c r="E467" s="8">
        <f t="shared" ca="1" si="54"/>
        <v>1</v>
      </c>
      <c r="F467" s="8">
        <f t="shared" ca="1" si="55"/>
        <v>3</v>
      </c>
      <c r="G467" s="14">
        <f t="shared" ca="1" si="56"/>
        <v>0.15472566342978344</v>
      </c>
      <c r="H467" s="8">
        <f t="shared" ca="1" si="57"/>
        <v>8</v>
      </c>
    </row>
    <row r="468" spans="1:8">
      <c r="A468" s="8">
        <v>463</v>
      </c>
      <c r="B468" s="9">
        <f t="shared" ca="1" si="51"/>
        <v>0.35591992390510452</v>
      </c>
      <c r="C468" s="10" t="str">
        <f t="shared" ca="1" si="52"/>
        <v>Navegación</v>
      </c>
      <c r="D468" s="9">
        <f t="shared" ca="1" si="53"/>
        <v>0.88442398868374916</v>
      </c>
      <c r="E468" s="10">
        <f t="shared" ca="1" si="54"/>
        <v>5</v>
      </c>
      <c r="F468" s="10">
        <f t="shared" ca="1" si="55"/>
        <v>5</v>
      </c>
      <c r="G468" s="9">
        <f t="shared" ca="1" si="56"/>
        <v>0.88181874942504068</v>
      </c>
      <c r="H468" s="10">
        <f t="shared" ca="1" si="57"/>
        <v>16</v>
      </c>
    </row>
    <row r="469" spans="1:8">
      <c r="A469" s="8">
        <v>464</v>
      </c>
      <c r="B469" s="14">
        <f t="shared" ca="1" si="51"/>
        <v>5.1504507652486708E-2</v>
      </c>
      <c r="C469" s="8" t="str">
        <f t="shared" ca="1" si="52"/>
        <v>Navegación</v>
      </c>
      <c r="D469" s="14">
        <f t="shared" ca="1" si="53"/>
        <v>8.9670711152209481E-2</v>
      </c>
      <c r="E469" s="8">
        <f t="shared" ca="1" si="54"/>
        <v>1</v>
      </c>
      <c r="F469" s="8">
        <f t="shared" ca="1" si="55"/>
        <v>2</v>
      </c>
      <c r="G469" s="14">
        <f t="shared" ca="1" si="56"/>
        <v>0.13882122542816666</v>
      </c>
      <c r="H469" s="8">
        <f t="shared" ca="1" si="57"/>
        <v>8</v>
      </c>
    </row>
    <row r="470" spans="1:8">
      <c r="A470" s="8">
        <v>465</v>
      </c>
      <c r="B470" s="9">
        <f t="shared" ca="1" si="51"/>
        <v>0.99031833027280214</v>
      </c>
      <c r="C470" s="10" t="str">
        <f t="shared" ca="1" si="52"/>
        <v>Checkout</v>
      </c>
      <c r="D470" s="9">
        <f t="shared" ca="1" si="53"/>
        <v>0.44893483820572888</v>
      </c>
      <c r="E470" s="10">
        <f t="shared" ca="1" si="54"/>
        <v>3</v>
      </c>
      <c r="F470" s="10">
        <f t="shared" ca="1" si="55"/>
        <v>4</v>
      </c>
      <c r="G470" s="9">
        <f t="shared" ca="1" si="56"/>
        <v>0.96384109209690172</v>
      </c>
      <c r="H470" s="10">
        <f t="shared" ca="1" si="57"/>
        <v>19</v>
      </c>
    </row>
    <row r="471" spans="1:8">
      <c r="A471" s="8">
        <v>466</v>
      </c>
      <c r="B471" s="14">
        <f t="shared" ca="1" si="51"/>
        <v>0.58590621525460651</v>
      </c>
      <c r="C471" s="8" t="str">
        <f t="shared" ca="1" si="52"/>
        <v>Carrito</v>
      </c>
      <c r="D471" s="14">
        <f t="shared" ca="1" si="53"/>
        <v>0.39916328329987627</v>
      </c>
      <c r="E471" s="8">
        <f t="shared" ca="1" si="54"/>
        <v>2</v>
      </c>
      <c r="F471" s="8">
        <f t="shared" ca="1" si="55"/>
        <v>5</v>
      </c>
      <c r="G471" s="14">
        <f t="shared" ca="1" si="56"/>
        <v>0.40876236264419596</v>
      </c>
      <c r="H471" s="8">
        <f t="shared" ca="1" si="57"/>
        <v>11</v>
      </c>
    </row>
    <row r="472" spans="1:8">
      <c r="A472" s="8">
        <v>467</v>
      </c>
      <c r="B472" s="9">
        <f t="shared" ca="1" si="51"/>
        <v>0.43204242569849216</v>
      </c>
      <c r="C472" s="10" t="str">
        <f t="shared" ca="1" si="52"/>
        <v>Navegación</v>
      </c>
      <c r="D472" s="9">
        <f t="shared" ca="1" si="53"/>
        <v>1.4181446133474385E-2</v>
      </c>
      <c r="E472" s="10">
        <f t="shared" ca="1" si="54"/>
        <v>1</v>
      </c>
      <c r="F472" s="10">
        <f t="shared" ca="1" si="55"/>
        <v>4</v>
      </c>
      <c r="G472" s="9">
        <f t="shared" ca="1" si="56"/>
        <v>0.79269752560158746</v>
      </c>
      <c r="H472" s="10">
        <f t="shared" ca="1" si="57"/>
        <v>15</v>
      </c>
    </row>
    <row r="473" spans="1:8">
      <c r="A473" s="8">
        <v>468</v>
      </c>
      <c r="B473" s="14">
        <f t="shared" ca="1" si="51"/>
        <v>0.57062905097059702</v>
      </c>
      <c r="C473" s="8" t="str">
        <f t="shared" ca="1" si="52"/>
        <v>Carrito</v>
      </c>
      <c r="D473" s="14">
        <f t="shared" ca="1" si="53"/>
        <v>0.54780148106110327</v>
      </c>
      <c r="E473" s="8">
        <f t="shared" ca="1" si="54"/>
        <v>3</v>
      </c>
      <c r="F473" s="8">
        <f t="shared" ca="1" si="55"/>
        <v>1</v>
      </c>
      <c r="G473" s="14">
        <f t="shared" ca="1" si="56"/>
        <v>0.48532654005397591</v>
      </c>
      <c r="H473" s="8">
        <f t="shared" ca="1" si="57"/>
        <v>12</v>
      </c>
    </row>
    <row r="474" spans="1:8">
      <c r="A474" s="8">
        <v>469</v>
      </c>
      <c r="B474" s="9">
        <f t="shared" ca="1" si="51"/>
        <v>0.71446488994673052</v>
      </c>
      <c r="C474" s="10" t="str">
        <f t="shared" ca="1" si="52"/>
        <v>Carrito</v>
      </c>
      <c r="D474" s="9">
        <f t="shared" ca="1" si="53"/>
        <v>0.90462692009469148</v>
      </c>
      <c r="E474" s="10">
        <f t="shared" ca="1" si="54"/>
        <v>5</v>
      </c>
      <c r="F474" s="10">
        <f t="shared" ca="1" si="55"/>
        <v>4</v>
      </c>
      <c r="G474" s="9">
        <f t="shared" ca="1" si="56"/>
        <v>0.34367301303710374</v>
      </c>
      <c r="H474" s="10">
        <f t="shared" ca="1" si="57"/>
        <v>10</v>
      </c>
    </row>
    <row r="475" spans="1:8">
      <c r="A475" s="8">
        <v>470</v>
      </c>
      <c r="B475" s="14">
        <f t="shared" ca="1" si="51"/>
        <v>0.71138354884890509</v>
      </c>
      <c r="C475" s="8" t="str">
        <f t="shared" ca="1" si="52"/>
        <v>Carrito</v>
      </c>
      <c r="D475" s="14">
        <f t="shared" ca="1" si="53"/>
        <v>0.12297015392001787</v>
      </c>
      <c r="E475" s="8">
        <f t="shared" ca="1" si="54"/>
        <v>1</v>
      </c>
      <c r="F475" s="8">
        <f t="shared" ca="1" si="55"/>
        <v>1</v>
      </c>
      <c r="G475" s="14">
        <f t="shared" ca="1" si="56"/>
        <v>0.63313153820130952</v>
      </c>
      <c r="H475" s="8">
        <f t="shared" ca="1" si="57"/>
        <v>13</v>
      </c>
    </row>
    <row r="476" spans="1:8">
      <c r="A476" s="8">
        <v>471</v>
      </c>
      <c r="B476" s="9">
        <f t="shared" ca="1" si="51"/>
        <v>0.40674154071782187</v>
      </c>
      <c r="C476" s="10" t="str">
        <f t="shared" ca="1" si="52"/>
        <v>Navegación</v>
      </c>
      <c r="D476" s="9">
        <f t="shared" ca="1" si="53"/>
        <v>4.3506141973368329E-2</v>
      </c>
      <c r="E476" s="10">
        <f t="shared" ca="1" si="54"/>
        <v>1</v>
      </c>
      <c r="F476" s="10">
        <f t="shared" ca="1" si="55"/>
        <v>3</v>
      </c>
      <c r="G476" s="9">
        <f t="shared" ca="1" si="56"/>
        <v>0.20277347835166359</v>
      </c>
      <c r="H476" s="10">
        <f t="shared" ca="1" si="57"/>
        <v>9</v>
      </c>
    </row>
    <row r="477" spans="1:8">
      <c r="A477" s="8">
        <v>472</v>
      </c>
      <c r="B477" s="14">
        <f t="shared" ca="1" si="51"/>
        <v>0.97261508954893583</v>
      </c>
      <c r="C477" s="8" t="str">
        <f t="shared" ca="1" si="52"/>
        <v>Checkout</v>
      </c>
      <c r="D477" s="14">
        <f t="shared" ca="1" si="53"/>
        <v>0.69661692544697051</v>
      </c>
      <c r="E477" s="8">
        <f t="shared" ca="1" si="54"/>
        <v>4</v>
      </c>
      <c r="F477" s="8">
        <f t="shared" ca="1" si="55"/>
        <v>5</v>
      </c>
      <c r="G477" s="14">
        <f t="shared" ca="1" si="56"/>
        <v>0.94331076140690051</v>
      </c>
      <c r="H477" s="8">
        <f t="shared" ca="1" si="57"/>
        <v>18</v>
      </c>
    </row>
    <row r="478" spans="1:8">
      <c r="A478" s="8">
        <v>473</v>
      </c>
      <c r="B478" s="9">
        <f t="shared" ca="1" si="51"/>
        <v>0.44087009115712872</v>
      </c>
      <c r="C478" s="10" t="str">
        <f t="shared" ca="1" si="52"/>
        <v>Navegación</v>
      </c>
      <c r="D478" s="9">
        <f t="shared" ca="1" si="53"/>
        <v>0.69145274031603765</v>
      </c>
      <c r="E478" s="10">
        <f t="shared" ca="1" si="54"/>
        <v>4</v>
      </c>
      <c r="F478" s="10">
        <f t="shared" ca="1" si="55"/>
        <v>1</v>
      </c>
      <c r="G478" s="9">
        <f t="shared" ca="1" si="56"/>
        <v>0.56461278446282792</v>
      </c>
      <c r="H478" s="10">
        <f t="shared" ca="1" si="57"/>
        <v>12</v>
      </c>
    </row>
    <row r="479" spans="1:8">
      <c r="A479" s="8">
        <v>474</v>
      </c>
      <c r="B479" s="14">
        <f t="shared" ca="1" si="51"/>
        <v>0.61181553696067836</v>
      </c>
      <c r="C479" s="8" t="str">
        <f t="shared" ca="1" si="52"/>
        <v>Carrito</v>
      </c>
      <c r="D479" s="14">
        <f t="shared" ca="1" si="53"/>
        <v>0.83310733184964081</v>
      </c>
      <c r="E479" s="8">
        <f t="shared" ca="1" si="54"/>
        <v>5</v>
      </c>
      <c r="F479" s="8">
        <f t="shared" ca="1" si="55"/>
        <v>3</v>
      </c>
      <c r="G479" s="14">
        <f t="shared" ca="1" si="56"/>
        <v>0.74544940826079509</v>
      </c>
      <c r="H479" s="8">
        <f t="shared" ca="1" si="57"/>
        <v>14</v>
      </c>
    </row>
    <row r="480" spans="1:8">
      <c r="A480" s="8">
        <v>475</v>
      </c>
      <c r="B480" s="9">
        <f t="shared" ca="1" si="51"/>
        <v>0.56960554800833751</v>
      </c>
      <c r="C480" s="10" t="str">
        <f t="shared" ca="1" si="52"/>
        <v>Carrito</v>
      </c>
      <c r="D480" s="9">
        <f t="shared" ca="1" si="53"/>
        <v>0.84623189937520127</v>
      </c>
      <c r="E480" s="10">
        <f t="shared" ca="1" si="54"/>
        <v>5</v>
      </c>
      <c r="F480" s="10">
        <f t="shared" ca="1" si="55"/>
        <v>2</v>
      </c>
      <c r="G480" s="9">
        <f t="shared" ca="1" si="56"/>
        <v>0.5609051528189013</v>
      </c>
      <c r="H480" s="10">
        <f t="shared" ca="1" si="57"/>
        <v>12</v>
      </c>
    </row>
    <row r="481" spans="1:8">
      <c r="A481" s="8">
        <v>476</v>
      </c>
      <c r="B481" s="14">
        <f t="shared" ca="1" si="51"/>
        <v>0.88189120422353195</v>
      </c>
      <c r="C481" s="8" t="str">
        <f t="shared" ca="1" si="52"/>
        <v>Checkout</v>
      </c>
      <c r="D481" s="14">
        <f t="shared" ca="1" si="53"/>
        <v>0.69636478979627858</v>
      </c>
      <c r="E481" s="8">
        <f t="shared" ca="1" si="54"/>
        <v>4</v>
      </c>
      <c r="F481" s="8">
        <f t="shared" ca="1" si="55"/>
        <v>4</v>
      </c>
      <c r="G481" s="14">
        <f t="shared" ca="1" si="56"/>
        <v>5.7094479995556946E-2</v>
      </c>
      <c r="H481" s="8">
        <f t="shared" ca="1" si="57"/>
        <v>7</v>
      </c>
    </row>
    <row r="482" spans="1:8">
      <c r="A482" s="8">
        <v>477</v>
      </c>
      <c r="B482" s="9">
        <f t="shared" ca="1" si="51"/>
        <v>0.86163186730453922</v>
      </c>
      <c r="C482" s="10" t="str">
        <f t="shared" ca="1" si="52"/>
        <v>Checkout</v>
      </c>
      <c r="D482" s="9">
        <f t="shared" ca="1" si="53"/>
        <v>0.84225735099824894</v>
      </c>
      <c r="E482" s="10">
        <f t="shared" ca="1" si="54"/>
        <v>5</v>
      </c>
      <c r="F482" s="10">
        <f t="shared" ca="1" si="55"/>
        <v>5</v>
      </c>
      <c r="G482" s="9">
        <f t="shared" ca="1" si="56"/>
        <v>0.49828110071617782</v>
      </c>
      <c r="H482" s="10">
        <f t="shared" ca="1" si="57"/>
        <v>12</v>
      </c>
    </row>
    <row r="483" spans="1:8">
      <c r="A483" s="8">
        <v>478</v>
      </c>
      <c r="B483" s="14">
        <f t="shared" ca="1" si="51"/>
        <v>0.9799902986282748</v>
      </c>
      <c r="C483" s="8" t="str">
        <f t="shared" ca="1" si="52"/>
        <v>Checkout</v>
      </c>
      <c r="D483" s="14">
        <f t="shared" ca="1" si="53"/>
        <v>0.26671880648310975</v>
      </c>
      <c r="E483" s="8">
        <f t="shared" ca="1" si="54"/>
        <v>2</v>
      </c>
      <c r="F483" s="8">
        <f t="shared" ca="1" si="55"/>
        <v>3</v>
      </c>
      <c r="G483" s="14">
        <f t="shared" ca="1" si="56"/>
        <v>0.81208834712214473</v>
      </c>
      <c r="H483" s="8">
        <f t="shared" ca="1" si="57"/>
        <v>15</v>
      </c>
    </row>
    <row r="484" spans="1:8">
      <c r="A484" s="8">
        <v>479</v>
      </c>
      <c r="B484" s="9">
        <f t="shared" ca="1" si="51"/>
        <v>2.8367140883437503E-2</v>
      </c>
      <c r="C484" s="10" t="str">
        <f t="shared" ca="1" si="52"/>
        <v>Navegación</v>
      </c>
      <c r="D484" s="9">
        <f t="shared" ca="1" si="53"/>
        <v>0.60804273486117555</v>
      </c>
      <c r="E484" s="10">
        <f t="shared" ca="1" si="54"/>
        <v>4</v>
      </c>
      <c r="F484" s="10">
        <f t="shared" ca="1" si="55"/>
        <v>1</v>
      </c>
      <c r="G484" s="9">
        <f t="shared" ca="1" si="56"/>
        <v>0.20475623651066843</v>
      </c>
      <c r="H484" s="10">
        <f t="shared" ca="1" si="57"/>
        <v>9</v>
      </c>
    </row>
    <row r="485" spans="1:8">
      <c r="A485" s="8">
        <v>480</v>
      </c>
      <c r="B485" s="14">
        <f t="shared" ca="1" si="51"/>
        <v>0.55743736558615264</v>
      </c>
      <c r="C485" s="8" t="str">
        <f t="shared" ca="1" si="52"/>
        <v>Carrito</v>
      </c>
      <c r="D485" s="14">
        <f t="shared" ca="1" si="53"/>
        <v>0.30414220106951628</v>
      </c>
      <c r="E485" s="8">
        <f t="shared" ca="1" si="54"/>
        <v>2</v>
      </c>
      <c r="F485" s="8">
        <f t="shared" ca="1" si="55"/>
        <v>3</v>
      </c>
      <c r="G485" s="14">
        <f t="shared" ca="1" si="56"/>
        <v>0.84056286953171377</v>
      </c>
      <c r="H485" s="8">
        <f t="shared" ca="1" si="57"/>
        <v>15</v>
      </c>
    </row>
    <row r="486" spans="1:8">
      <c r="A486" s="8">
        <v>481</v>
      </c>
      <c r="B486" s="9">
        <f t="shared" ca="1" si="51"/>
        <v>0.23481677276080681</v>
      </c>
      <c r="C486" s="10" t="str">
        <f t="shared" ca="1" si="52"/>
        <v>Navegación</v>
      </c>
      <c r="D486" s="9">
        <f t="shared" ca="1" si="53"/>
        <v>0.20813821155589007</v>
      </c>
      <c r="E486" s="10">
        <f t="shared" ca="1" si="54"/>
        <v>2</v>
      </c>
      <c r="F486" s="10">
        <f t="shared" ca="1" si="55"/>
        <v>5</v>
      </c>
      <c r="G486" s="9">
        <f t="shared" ca="1" si="56"/>
        <v>0.60223107892852723</v>
      </c>
      <c r="H486" s="10">
        <f t="shared" ca="1" si="57"/>
        <v>13</v>
      </c>
    </row>
    <row r="487" spans="1:8">
      <c r="A487" s="8">
        <v>482</v>
      </c>
      <c r="B487" s="14">
        <f t="shared" ca="1" si="51"/>
        <v>0.78342663335204898</v>
      </c>
      <c r="C487" s="8" t="str">
        <f t="shared" ca="1" si="52"/>
        <v>Carrito</v>
      </c>
      <c r="D487" s="14">
        <f t="shared" ca="1" si="53"/>
        <v>0.45631034689308336</v>
      </c>
      <c r="E487" s="8">
        <f t="shared" ca="1" si="54"/>
        <v>3</v>
      </c>
      <c r="F487" s="8">
        <f t="shared" ca="1" si="55"/>
        <v>4</v>
      </c>
      <c r="G487" s="14">
        <f t="shared" ca="1" si="56"/>
        <v>0.45820403939896781</v>
      </c>
      <c r="H487" s="8">
        <f t="shared" ca="1" si="57"/>
        <v>11</v>
      </c>
    </row>
    <row r="488" spans="1:8">
      <c r="A488" s="8">
        <v>483</v>
      </c>
      <c r="B488" s="9">
        <f t="shared" ca="1" si="51"/>
        <v>0.79214245048548881</v>
      </c>
      <c r="C488" s="10" t="str">
        <f t="shared" ca="1" si="52"/>
        <v>Carrito</v>
      </c>
      <c r="D488" s="9">
        <f t="shared" ca="1" si="53"/>
        <v>1.1150946398278405E-2</v>
      </c>
      <c r="E488" s="10">
        <f t="shared" ca="1" si="54"/>
        <v>1</v>
      </c>
      <c r="F488" s="10">
        <f t="shared" ca="1" si="55"/>
        <v>3</v>
      </c>
      <c r="G488" s="9">
        <f t="shared" ca="1" si="56"/>
        <v>0.94989623623186781</v>
      </c>
      <c r="H488" s="10">
        <f t="shared" ca="1" si="57"/>
        <v>18</v>
      </c>
    </row>
    <row r="489" spans="1:8">
      <c r="A489" s="8">
        <v>484</v>
      </c>
      <c r="B489" s="14">
        <f t="shared" ca="1" si="51"/>
        <v>0.74285801978955512</v>
      </c>
      <c r="C489" s="8" t="str">
        <f t="shared" ca="1" si="52"/>
        <v>Carrito</v>
      </c>
      <c r="D489" s="14">
        <f t="shared" ca="1" si="53"/>
        <v>0.54258493310633282</v>
      </c>
      <c r="E489" s="8">
        <f t="shared" ca="1" si="54"/>
        <v>3</v>
      </c>
      <c r="F489" s="8">
        <f t="shared" ca="1" si="55"/>
        <v>1</v>
      </c>
      <c r="G489" s="14">
        <f t="shared" ca="1" si="56"/>
        <v>0.78384050737563238</v>
      </c>
      <c r="H489" s="8">
        <f t="shared" ca="1" si="57"/>
        <v>15</v>
      </c>
    </row>
    <row r="490" spans="1:8">
      <c r="A490" s="8">
        <v>485</v>
      </c>
      <c r="B490" s="9">
        <f t="shared" ca="1" si="51"/>
        <v>0.60956722174410782</v>
      </c>
      <c r="C490" s="10" t="str">
        <f t="shared" ca="1" si="52"/>
        <v>Carrito</v>
      </c>
      <c r="D490" s="9">
        <f t="shared" ca="1" si="53"/>
        <v>0.1079131624414551</v>
      </c>
      <c r="E490" s="10">
        <f t="shared" ca="1" si="54"/>
        <v>1</v>
      </c>
      <c r="F490" s="10">
        <f t="shared" ca="1" si="55"/>
        <v>5</v>
      </c>
      <c r="G490" s="9">
        <f t="shared" ca="1" si="56"/>
        <v>0.12538484109231285</v>
      </c>
      <c r="H490" s="10">
        <f t="shared" ca="1" si="57"/>
        <v>8</v>
      </c>
    </row>
    <row r="491" spans="1:8">
      <c r="A491" s="8">
        <v>486</v>
      </c>
      <c r="B491" s="14">
        <f t="shared" ca="1" si="51"/>
        <v>0.70102249019414575</v>
      </c>
      <c r="C491" s="8" t="str">
        <f t="shared" ca="1" si="52"/>
        <v>Carrito</v>
      </c>
      <c r="D491" s="14">
        <f t="shared" ca="1" si="53"/>
        <v>0.72746576634158855</v>
      </c>
      <c r="E491" s="8">
        <f t="shared" ca="1" si="54"/>
        <v>4</v>
      </c>
      <c r="F491" s="8">
        <f t="shared" ca="1" si="55"/>
        <v>5</v>
      </c>
      <c r="G491" s="14">
        <f t="shared" ca="1" si="56"/>
        <v>0.1507247724108981</v>
      </c>
      <c r="H491" s="8">
        <f t="shared" ca="1" si="57"/>
        <v>8</v>
      </c>
    </row>
    <row r="492" spans="1:8">
      <c r="A492" s="8">
        <v>487</v>
      </c>
      <c r="B492" s="9">
        <f t="shared" ca="1" si="51"/>
        <v>0.41770796809237509</v>
      </c>
      <c r="C492" s="10" t="str">
        <f t="shared" ca="1" si="52"/>
        <v>Navegación</v>
      </c>
      <c r="D492" s="9">
        <f t="shared" ca="1" si="53"/>
        <v>8.4150622414682741E-2</v>
      </c>
      <c r="E492" s="10">
        <f t="shared" ca="1" si="54"/>
        <v>1</v>
      </c>
      <c r="F492" s="10">
        <f t="shared" ca="1" si="55"/>
        <v>1</v>
      </c>
      <c r="G492" s="9">
        <f t="shared" ca="1" si="56"/>
        <v>0.19654568313958631</v>
      </c>
      <c r="H492" s="10">
        <f t="shared" ca="1" si="57"/>
        <v>9</v>
      </c>
    </row>
    <row r="493" spans="1:8">
      <c r="A493" s="8">
        <v>488</v>
      </c>
      <c r="B493" s="14">
        <f t="shared" ca="1" si="51"/>
        <v>6.7067971652174818E-2</v>
      </c>
      <c r="C493" s="8" t="str">
        <f t="shared" ca="1" si="52"/>
        <v>Navegación</v>
      </c>
      <c r="D493" s="14">
        <f t="shared" ca="1" si="53"/>
        <v>0.71198408097788879</v>
      </c>
      <c r="E493" s="8">
        <f t="shared" ca="1" si="54"/>
        <v>4</v>
      </c>
      <c r="F493" s="8">
        <f t="shared" ca="1" si="55"/>
        <v>2</v>
      </c>
      <c r="G493" s="14">
        <f t="shared" ca="1" si="56"/>
        <v>0.73401724700592108</v>
      </c>
      <c r="H493" s="8">
        <f t="shared" ca="1" si="57"/>
        <v>14</v>
      </c>
    </row>
    <row r="494" spans="1:8">
      <c r="A494" s="8">
        <v>489</v>
      </c>
      <c r="B494" s="9">
        <f t="shared" ca="1" si="51"/>
        <v>0.53348219933207819</v>
      </c>
      <c r="C494" s="10" t="str">
        <f t="shared" ca="1" si="52"/>
        <v>Navegación</v>
      </c>
      <c r="D494" s="9">
        <f t="shared" ca="1" si="53"/>
        <v>0.39277781096502129</v>
      </c>
      <c r="E494" s="10">
        <f t="shared" ca="1" si="54"/>
        <v>2</v>
      </c>
      <c r="F494" s="10">
        <f t="shared" ca="1" si="55"/>
        <v>2</v>
      </c>
      <c r="G494" s="9">
        <f t="shared" ca="1" si="56"/>
        <v>0.18429742256548642</v>
      </c>
      <c r="H494" s="10">
        <f t="shared" ca="1" si="57"/>
        <v>9</v>
      </c>
    </row>
    <row r="495" spans="1:8">
      <c r="A495" s="8">
        <v>490</v>
      </c>
      <c r="B495" s="14">
        <f t="shared" ca="1" si="51"/>
        <v>0.99744742852773483</v>
      </c>
      <c r="C495" s="8" t="str">
        <f t="shared" ca="1" si="52"/>
        <v>Checkout</v>
      </c>
      <c r="D495" s="14">
        <f t="shared" ca="1" si="53"/>
        <v>0.84633980713109613</v>
      </c>
      <c r="E495" s="8">
        <f t="shared" ca="1" si="54"/>
        <v>5</v>
      </c>
      <c r="F495" s="8">
        <f t="shared" ca="1" si="55"/>
        <v>1</v>
      </c>
      <c r="G495" s="14">
        <f t="shared" ca="1" si="56"/>
        <v>0.15799128952269981</v>
      </c>
      <c r="H495" s="8">
        <f t="shared" ca="1" si="57"/>
        <v>9</v>
      </c>
    </row>
    <row r="496" spans="1:8">
      <c r="A496" s="8">
        <v>491</v>
      </c>
      <c r="B496" s="9">
        <f t="shared" ca="1" si="51"/>
        <v>0.34538384066762517</v>
      </c>
      <c r="C496" s="10" t="str">
        <f t="shared" ca="1" si="52"/>
        <v>Navegación</v>
      </c>
      <c r="D496" s="9">
        <f t="shared" ca="1" si="53"/>
        <v>0.65551042989058361</v>
      </c>
      <c r="E496" s="10">
        <f t="shared" ca="1" si="54"/>
        <v>4</v>
      </c>
      <c r="F496" s="10">
        <f t="shared" ca="1" si="55"/>
        <v>1</v>
      </c>
      <c r="G496" s="9">
        <f t="shared" ca="1" si="56"/>
        <v>0.97147490151322879</v>
      </c>
      <c r="H496" s="10">
        <f t="shared" ca="1" si="57"/>
        <v>19</v>
      </c>
    </row>
    <row r="497" spans="1:8">
      <c r="A497" s="8">
        <v>492</v>
      </c>
      <c r="B497" s="14">
        <f t="shared" ca="1" si="51"/>
        <v>0.59828152096124299</v>
      </c>
      <c r="C497" s="8" t="str">
        <f t="shared" ca="1" si="52"/>
        <v>Carrito</v>
      </c>
      <c r="D497" s="14">
        <f t="shared" ca="1" si="53"/>
        <v>0.29726842444152601</v>
      </c>
      <c r="E497" s="8">
        <f t="shared" ca="1" si="54"/>
        <v>2</v>
      </c>
      <c r="F497" s="8">
        <f t="shared" ca="1" si="55"/>
        <v>4</v>
      </c>
      <c r="G497" s="14">
        <f t="shared" ca="1" si="56"/>
        <v>2.5360030722868632E-2</v>
      </c>
      <c r="H497" s="8">
        <f t="shared" ca="1" si="57"/>
        <v>6</v>
      </c>
    </row>
    <row r="498" spans="1:8">
      <c r="A498" s="8">
        <v>493</v>
      </c>
      <c r="B498" s="9">
        <f t="shared" ca="1" si="51"/>
        <v>5.8319934677397267E-2</v>
      </c>
      <c r="C498" s="10" t="str">
        <f t="shared" ca="1" si="52"/>
        <v>Navegación</v>
      </c>
      <c r="D498" s="9">
        <f t="shared" ca="1" si="53"/>
        <v>0.85185845254852344</v>
      </c>
      <c r="E498" s="10">
        <f t="shared" ca="1" si="54"/>
        <v>5</v>
      </c>
      <c r="F498" s="10">
        <f t="shared" ca="1" si="55"/>
        <v>3</v>
      </c>
      <c r="G498" s="9">
        <f t="shared" ca="1" si="56"/>
        <v>0.7266030813896055</v>
      </c>
      <c r="H498" s="10">
        <f t="shared" ca="1" si="57"/>
        <v>14</v>
      </c>
    </row>
    <row r="499" spans="1:8">
      <c r="A499" s="8">
        <v>494</v>
      </c>
      <c r="B499" s="14">
        <f t="shared" ca="1" si="51"/>
        <v>0.43794727122821819</v>
      </c>
      <c r="C499" s="8" t="str">
        <f t="shared" ca="1" si="52"/>
        <v>Navegación</v>
      </c>
      <c r="D499" s="14">
        <f t="shared" ca="1" si="53"/>
        <v>0.34929742541207698</v>
      </c>
      <c r="E499" s="8">
        <f t="shared" ca="1" si="54"/>
        <v>2</v>
      </c>
      <c r="F499" s="8">
        <f t="shared" ca="1" si="55"/>
        <v>3</v>
      </c>
      <c r="G499" s="14">
        <f t="shared" ca="1" si="56"/>
        <v>0.50912519405958945</v>
      </c>
      <c r="H499" s="8">
        <f t="shared" ca="1" si="57"/>
        <v>12</v>
      </c>
    </row>
    <row r="500" spans="1:8">
      <c r="A500" s="8">
        <v>495</v>
      </c>
      <c r="B500" s="9">
        <f t="shared" ca="1" si="51"/>
        <v>0.3580972018448042</v>
      </c>
      <c r="C500" s="10" t="str">
        <f t="shared" ca="1" si="52"/>
        <v>Navegación</v>
      </c>
      <c r="D500" s="9">
        <f t="shared" ca="1" si="53"/>
        <v>0.30140205178253032</v>
      </c>
      <c r="E500" s="10">
        <f t="shared" ca="1" si="54"/>
        <v>2</v>
      </c>
      <c r="F500" s="10">
        <f t="shared" ca="1" si="55"/>
        <v>1</v>
      </c>
      <c r="G500" s="9">
        <f t="shared" ca="1" si="56"/>
        <v>0.63260249688592995</v>
      </c>
      <c r="H500" s="10">
        <f t="shared" ca="1" si="57"/>
        <v>13</v>
      </c>
    </row>
    <row r="501" spans="1:8">
      <c r="A501" s="8">
        <v>496</v>
      </c>
      <c r="B501" s="14">
        <f t="shared" ca="1" si="51"/>
        <v>4.6553337495944369E-2</v>
      </c>
      <c r="C501" s="8" t="str">
        <f t="shared" ca="1" si="52"/>
        <v>Navegación</v>
      </c>
      <c r="D501" s="14">
        <f t="shared" ca="1" si="53"/>
        <v>0.65940014155140492</v>
      </c>
      <c r="E501" s="8">
        <f t="shared" ca="1" si="54"/>
        <v>4</v>
      </c>
      <c r="F501" s="8">
        <f t="shared" ca="1" si="55"/>
        <v>3</v>
      </c>
      <c r="G501" s="14">
        <f t="shared" ca="1" si="56"/>
        <v>8.5920243149406383E-2</v>
      </c>
      <c r="H501" s="8">
        <f t="shared" ca="1" si="57"/>
        <v>7</v>
      </c>
    </row>
    <row r="502" spans="1:8">
      <c r="A502" s="8">
        <v>497</v>
      </c>
      <c r="B502" s="9">
        <f t="shared" ca="1" si="51"/>
        <v>0.95016220128762452</v>
      </c>
      <c r="C502" s="10" t="str">
        <f t="shared" ca="1" si="52"/>
        <v>Checkout</v>
      </c>
      <c r="D502" s="9">
        <f t="shared" ca="1" si="53"/>
        <v>2.6400178165262522E-2</v>
      </c>
      <c r="E502" s="10">
        <f t="shared" ca="1" si="54"/>
        <v>1</v>
      </c>
      <c r="F502" s="10">
        <f t="shared" ca="1" si="55"/>
        <v>2</v>
      </c>
      <c r="G502" s="9">
        <f t="shared" ca="1" si="56"/>
        <v>6.7334473644158344E-3</v>
      </c>
      <c r="H502" s="10">
        <f t="shared" ca="1" si="57"/>
        <v>4</v>
      </c>
    </row>
    <row r="503" spans="1:8">
      <c r="A503" s="8">
        <v>498</v>
      </c>
      <c r="B503" s="14">
        <f t="shared" ca="1" si="51"/>
        <v>0.30480686145558633</v>
      </c>
      <c r="C503" s="8" t="str">
        <f t="shared" ca="1" si="52"/>
        <v>Navegación</v>
      </c>
      <c r="D503" s="14">
        <f t="shared" ca="1" si="53"/>
        <v>0.4975015693981647</v>
      </c>
      <c r="E503" s="8">
        <f t="shared" ca="1" si="54"/>
        <v>3</v>
      </c>
      <c r="F503" s="8">
        <f t="shared" ca="1" si="55"/>
        <v>4</v>
      </c>
      <c r="G503" s="14">
        <f t="shared" ca="1" si="56"/>
        <v>0.9722458976009728</v>
      </c>
      <c r="H503" s="8">
        <f t="shared" ca="1" si="57"/>
        <v>19</v>
      </c>
    </row>
    <row r="504" spans="1:8">
      <c r="A504" s="8">
        <v>499</v>
      </c>
      <c r="B504" s="9">
        <f t="shared" ca="1" si="51"/>
        <v>7.5577624618777484E-2</v>
      </c>
      <c r="C504" s="10" t="str">
        <f t="shared" ca="1" si="52"/>
        <v>Navegación</v>
      </c>
      <c r="D504" s="9">
        <f t="shared" ca="1" si="53"/>
        <v>0.74221884008677974</v>
      </c>
      <c r="E504" s="10">
        <f t="shared" ca="1" si="54"/>
        <v>4</v>
      </c>
      <c r="F504" s="10">
        <f t="shared" ca="1" si="55"/>
        <v>2</v>
      </c>
      <c r="G504" s="9">
        <f t="shared" ca="1" si="56"/>
        <v>0.93557897573277382</v>
      </c>
      <c r="H504" s="10">
        <f t="shared" ca="1" si="57"/>
        <v>17</v>
      </c>
    </row>
    <row r="505" spans="1:8">
      <c r="A505" s="8">
        <v>500</v>
      </c>
      <c r="B505" s="14">
        <f t="shared" ca="1" si="51"/>
        <v>0.86133578960486246</v>
      </c>
      <c r="C505" s="8" t="str">
        <f t="shared" ca="1" si="52"/>
        <v>Checkout</v>
      </c>
      <c r="D505" s="14">
        <f t="shared" ca="1" si="53"/>
        <v>0.55837026248756838</v>
      </c>
      <c r="E505" s="8">
        <f t="shared" ca="1" si="54"/>
        <v>3</v>
      </c>
      <c r="F505" s="8">
        <f t="shared" ca="1" si="55"/>
        <v>2</v>
      </c>
      <c r="G505" s="14">
        <f t="shared" ca="1" si="56"/>
        <v>7.9332311328327298E-2</v>
      </c>
      <c r="H505" s="8">
        <f t="shared" ca="1" si="57"/>
        <v>7</v>
      </c>
    </row>
    <row r="506" spans="1:8">
      <c r="A506" s="8">
        <v>501</v>
      </c>
      <c r="B506" s="9">
        <f t="shared" ca="1" si="51"/>
        <v>0.94310383097505823</v>
      </c>
      <c r="C506" s="10" t="str">
        <f t="shared" ca="1" si="52"/>
        <v>Checkout</v>
      </c>
      <c r="D506" s="9">
        <f t="shared" ca="1" si="53"/>
        <v>0.98130693760793009</v>
      </c>
      <c r="E506" s="10">
        <f t="shared" ca="1" si="54"/>
        <v>5</v>
      </c>
      <c r="F506" s="10">
        <f t="shared" ca="1" si="55"/>
        <v>5</v>
      </c>
      <c r="G506" s="9">
        <f t="shared" ca="1" si="56"/>
        <v>0.31597468048918753</v>
      </c>
      <c r="H506" s="10">
        <f t="shared" ca="1" si="57"/>
        <v>10</v>
      </c>
    </row>
    <row r="507" spans="1:8">
      <c r="A507" s="8">
        <v>502</v>
      </c>
      <c r="B507" s="14">
        <f t="shared" ca="1" si="51"/>
        <v>0.1890391917794515</v>
      </c>
      <c r="C507" s="8" t="str">
        <f t="shared" ca="1" si="52"/>
        <v>Navegación</v>
      </c>
      <c r="D507" s="14">
        <f t="shared" ca="1" si="53"/>
        <v>0.18351771314820342</v>
      </c>
      <c r="E507" s="8">
        <f t="shared" ca="1" si="54"/>
        <v>1</v>
      </c>
      <c r="F507" s="8">
        <f t="shared" ca="1" si="55"/>
        <v>5</v>
      </c>
      <c r="G507" s="14">
        <f t="shared" ca="1" si="56"/>
        <v>0.96949382515467863</v>
      </c>
      <c r="H507" s="8">
        <f t="shared" ca="1" si="57"/>
        <v>19</v>
      </c>
    </row>
    <row r="508" spans="1:8">
      <c r="A508" s="8">
        <v>503</v>
      </c>
      <c r="B508" s="9">
        <f t="shared" ca="1" si="51"/>
        <v>0.2341009810765764</v>
      </c>
      <c r="C508" s="10" t="str">
        <f t="shared" ca="1" si="52"/>
        <v>Navegación</v>
      </c>
      <c r="D508" s="9">
        <f t="shared" ca="1" si="53"/>
        <v>0.86777005426522014</v>
      </c>
      <c r="E508" s="10">
        <f t="shared" ca="1" si="54"/>
        <v>5</v>
      </c>
      <c r="F508" s="10">
        <f t="shared" ca="1" si="55"/>
        <v>3</v>
      </c>
      <c r="G508" s="9">
        <f t="shared" ca="1" si="56"/>
        <v>0.14843180492712404</v>
      </c>
      <c r="H508" s="10">
        <f t="shared" ca="1" si="57"/>
        <v>8</v>
      </c>
    </row>
    <row r="509" spans="1:8">
      <c r="A509" s="8">
        <v>504</v>
      </c>
      <c r="B509" s="14">
        <f t="shared" ca="1" si="51"/>
        <v>0.12438347040601683</v>
      </c>
      <c r="C509" s="8" t="str">
        <f t="shared" ca="1" si="52"/>
        <v>Navegación</v>
      </c>
      <c r="D509" s="14">
        <f t="shared" ca="1" si="53"/>
        <v>0.10791671817669224</v>
      </c>
      <c r="E509" s="8">
        <f t="shared" ca="1" si="54"/>
        <v>1</v>
      </c>
      <c r="F509" s="8">
        <f t="shared" ca="1" si="55"/>
        <v>2</v>
      </c>
      <c r="G509" s="14">
        <f t="shared" ca="1" si="56"/>
        <v>5.7516983623091211E-2</v>
      </c>
      <c r="H509" s="8">
        <f t="shared" ca="1" si="57"/>
        <v>7</v>
      </c>
    </row>
    <row r="510" spans="1:8">
      <c r="A510" s="8">
        <v>505</v>
      </c>
      <c r="B510" s="9">
        <f t="shared" ca="1" si="51"/>
        <v>0.84840878405188547</v>
      </c>
      <c r="C510" s="10" t="str">
        <f t="shared" ca="1" si="52"/>
        <v>Carrito</v>
      </c>
      <c r="D510" s="9">
        <f t="shared" ca="1" si="53"/>
        <v>0.73652486876009948</v>
      </c>
      <c r="E510" s="10">
        <f t="shared" ca="1" si="54"/>
        <v>4</v>
      </c>
      <c r="F510" s="10">
        <f t="shared" ca="1" si="55"/>
        <v>3</v>
      </c>
      <c r="G510" s="9">
        <f t="shared" ca="1" si="56"/>
        <v>0.32289465035875375</v>
      </c>
      <c r="H510" s="10">
        <f t="shared" ca="1" si="57"/>
        <v>10</v>
      </c>
    </row>
    <row r="511" spans="1:8">
      <c r="A511" s="8">
        <v>506</v>
      </c>
      <c r="B511" s="14">
        <f t="shared" ca="1" si="51"/>
        <v>0.90755951394241885</v>
      </c>
      <c r="C511" s="8" t="str">
        <f t="shared" ca="1" si="52"/>
        <v>Checkout</v>
      </c>
      <c r="D511" s="14">
        <f t="shared" ca="1" si="53"/>
        <v>0.51915952928787712</v>
      </c>
      <c r="E511" s="8">
        <f t="shared" ca="1" si="54"/>
        <v>3</v>
      </c>
      <c r="F511" s="8">
        <f t="shared" ca="1" si="55"/>
        <v>1</v>
      </c>
      <c r="G511" s="14">
        <f t="shared" ca="1" si="56"/>
        <v>0.48246334328751861</v>
      </c>
      <c r="H511" s="8">
        <f t="shared" ca="1" si="57"/>
        <v>12</v>
      </c>
    </row>
    <row r="512" spans="1:8">
      <c r="A512" s="8">
        <v>507</v>
      </c>
      <c r="B512" s="9">
        <f t="shared" ca="1" si="51"/>
        <v>0.92662057520414076</v>
      </c>
      <c r="C512" s="10" t="str">
        <f t="shared" ca="1" si="52"/>
        <v>Checkout</v>
      </c>
      <c r="D512" s="9">
        <f t="shared" ca="1" si="53"/>
        <v>5.1002444305936478E-2</v>
      </c>
      <c r="E512" s="10">
        <f t="shared" ca="1" si="54"/>
        <v>1</v>
      </c>
      <c r="F512" s="10">
        <f t="shared" ca="1" si="55"/>
        <v>5</v>
      </c>
      <c r="G512" s="9">
        <f t="shared" ca="1" si="56"/>
        <v>0.80268549364301722</v>
      </c>
      <c r="H512" s="10">
        <f t="shared" ca="1" si="57"/>
        <v>15</v>
      </c>
    </row>
    <row r="513" spans="1:8">
      <c r="A513" s="8">
        <v>508</v>
      </c>
      <c r="B513" s="14">
        <f t="shared" ca="1" si="51"/>
        <v>8.2073182656203891E-2</v>
      </c>
      <c r="C513" s="8" t="str">
        <f t="shared" ca="1" si="52"/>
        <v>Navegación</v>
      </c>
      <c r="D513" s="14">
        <f t="shared" ca="1" si="53"/>
        <v>6.501339962171615E-4</v>
      </c>
      <c r="E513" s="8">
        <f t="shared" ca="1" si="54"/>
        <v>1</v>
      </c>
      <c r="F513" s="8">
        <f t="shared" ca="1" si="55"/>
        <v>5</v>
      </c>
      <c r="G513" s="14">
        <f t="shared" ca="1" si="56"/>
        <v>0.8100435758023955</v>
      </c>
      <c r="H513" s="8">
        <f t="shared" ca="1" si="57"/>
        <v>15</v>
      </c>
    </row>
    <row r="514" spans="1:8">
      <c r="A514" s="8">
        <v>509</v>
      </c>
      <c r="B514" s="9">
        <f t="shared" ca="1" si="51"/>
        <v>2.6184938351113796E-2</v>
      </c>
      <c r="C514" s="10" t="str">
        <f t="shared" ca="1" si="52"/>
        <v>Navegación</v>
      </c>
      <c r="D514" s="9">
        <f t="shared" ca="1" si="53"/>
        <v>0.89711020310315792</v>
      </c>
      <c r="E514" s="10">
        <f t="shared" ca="1" si="54"/>
        <v>5</v>
      </c>
      <c r="F514" s="10">
        <f t="shared" ca="1" si="55"/>
        <v>1</v>
      </c>
      <c r="G514" s="9">
        <f t="shared" ca="1" si="56"/>
        <v>0.10650419164111347</v>
      </c>
      <c r="H514" s="10">
        <f t="shared" ca="1" si="57"/>
        <v>8</v>
      </c>
    </row>
    <row r="515" spans="1:8">
      <c r="A515" s="8">
        <v>510</v>
      </c>
      <c r="B515" s="14">
        <f t="shared" ca="1" si="51"/>
        <v>0.71176589213299846</v>
      </c>
      <c r="C515" s="8" t="str">
        <f t="shared" ca="1" si="52"/>
        <v>Carrito</v>
      </c>
      <c r="D515" s="14">
        <f t="shared" ca="1" si="53"/>
        <v>0.90399417020552097</v>
      </c>
      <c r="E515" s="8">
        <f t="shared" ca="1" si="54"/>
        <v>5</v>
      </c>
      <c r="F515" s="8">
        <f t="shared" ca="1" si="55"/>
        <v>4</v>
      </c>
      <c r="G515" s="14">
        <f t="shared" ca="1" si="56"/>
        <v>4.4115439561513314E-2</v>
      </c>
      <c r="H515" s="8">
        <f t="shared" ca="1" si="57"/>
        <v>6</v>
      </c>
    </row>
    <row r="516" spans="1:8">
      <c r="A516" s="8">
        <v>511</v>
      </c>
      <c r="B516" s="9">
        <f t="shared" ca="1" si="51"/>
        <v>0.97377662204907467</v>
      </c>
      <c r="C516" s="10" t="str">
        <f t="shared" ca="1" si="52"/>
        <v>Checkout</v>
      </c>
      <c r="D516" s="9">
        <f t="shared" ca="1" si="53"/>
        <v>0.37491455008179475</v>
      </c>
      <c r="E516" s="10">
        <f t="shared" ca="1" si="54"/>
        <v>2</v>
      </c>
      <c r="F516" s="10">
        <f t="shared" ca="1" si="55"/>
        <v>5</v>
      </c>
      <c r="G516" s="9">
        <f t="shared" ca="1" si="56"/>
        <v>0.75876850974468912</v>
      </c>
      <c r="H516" s="10">
        <f t="shared" ca="1" si="57"/>
        <v>14</v>
      </c>
    </row>
    <row r="517" spans="1:8">
      <c r="A517" s="8">
        <v>512</v>
      </c>
      <c r="B517" s="14">
        <f t="shared" ca="1" si="51"/>
        <v>0.65547921528988884</v>
      </c>
      <c r="C517" s="8" t="str">
        <f t="shared" ca="1" si="52"/>
        <v>Carrito</v>
      </c>
      <c r="D517" s="14">
        <f t="shared" ca="1" si="53"/>
        <v>0.97546969533810512</v>
      </c>
      <c r="E517" s="8">
        <f t="shared" ca="1" si="54"/>
        <v>5</v>
      </c>
      <c r="F517" s="8">
        <f t="shared" ca="1" si="55"/>
        <v>5</v>
      </c>
      <c r="G517" s="14">
        <f t="shared" ca="1" si="56"/>
        <v>0.40842574748231886</v>
      </c>
      <c r="H517" s="8">
        <f t="shared" ca="1" si="57"/>
        <v>11</v>
      </c>
    </row>
    <row r="518" spans="1:8">
      <c r="A518" s="8">
        <v>513</v>
      </c>
      <c r="B518" s="9">
        <f t="shared" ref="B518:B581" ca="1" si="58">RAND()</f>
        <v>0.18551018834244237</v>
      </c>
      <c r="C518" s="10" t="str">
        <f t="shared" ref="C518:C581" ca="1" si="59">VLOOKUP(B518, $J$6:$K$8, 2, TRUE)</f>
        <v>Navegación</v>
      </c>
      <c r="D518" s="9">
        <f t="shared" ref="D518:D581" ca="1" si="60">RAND()</f>
        <v>0.40473324307487957</v>
      </c>
      <c r="E518" s="10">
        <f t="shared" ref="E518:E581" ca="1" si="61">INT(D518*($O$7-$O$6+1))+$O$6</f>
        <v>3</v>
      </c>
      <c r="F518" s="10">
        <f t="shared" ref="F518:F581" ca="1" si="62">RANDBETWEEN($O$6, $O$7)</f>
        <v>4</v>
      </c>
      <c r="G518" s="9">
        <f t="shared" ref="G518:G581" ca="1" si="63">RAND()</f>
        <v>0.63879491943675437</v>
      </c>
      <c r="H518" s="10">
        <f t="shared" ref="H518:H581" ca="1" si="64">VLOOKUP(G518, $W$5:$X$39, 2, TRUE)</f>
        <v>13</v>
      </c>
    </row>
    <row r="519" spans="1:8">
      <c r="A519" s="8">
        <v>514</v>
      </c>
      <c r="B519" s="14">
        <f t="shared" ca="1" si="58"/>
        <v>0.40349647331303806</v>
      </c>
      <c r="C519" s="8" t="str">
        <f t="shared" ca="1" si="59"/>
        <v>Navegación</v>
      </c>
      <c r="D519" s="14">
        <f t="shared" ca="1" si="60"/>
        <v>0.12080400089037879</v>
      </c>
      <c r="E519" s="8">
        <f t="shared" ca="1" si="61"/>
        <v>1</v>
      </c>
      <c r="F519" s="8">
        <f t="shared" ca="1" si="62"/>
        <v>3</v>
      </c>
      <c r="G519" s="14">
        <f t="shared" ca="1" si="63"/>
        <v>0.32246625591133893</v>
      </c>
      <c r="H519" s="8">
        <f t="shared" ca="1" si="64"/>
        <v>10</v>
      </c>
    </row>
    <row r="520" spans="1:8">
      <c r="A520" s="8">
        <v>515</v>
      </c>
      <c r="B520" s="9">
        <f t="shared" ca="1" si="58"/>
        <v>0.47016097417390879</v>
      </c>
      <c r="C520" s="10" t="str">
        <f t="shared" ca="1" si="59"/>
        <v>Navegación</v>
      </c>
      <c r="D520" s="9">
        <f t="shared" ca="1" si="60"/>
        <v>0.58041836422824511</v>
      </c>
      <c r="E520" s="10">
        <f t="shared" ca="1" si="61"/>
        <v>3</v>
      </c>
      <c r="F520" s="10">
        <f t="shared" ca="1" si="62"/>
        <v>2</v>
      </c>
      <c r="G520" s="9">
        <f t="shared" ca="1" si="63"/>
        <v>0.42421205358122405</v>
      </c>
      <c r="H520" s="10">
        <f t="shared" ca="1" si="64"/>
        <v>11</v>
      </c>
    </row>
    <row r="521" spans="1:8">
      <c r="A521" s="8">
        <v>516</v>
      </c>
      <c r="B521" s="14">
        <f t="shared" ca="1" si="58"/>
        <v>0.33490675853441554</v>
      </c>
      <c r="C521" s="8" t="str">
        <f t="shared" ca="1" si="59"/>
        <v>Navegación</v>
      </c>
      <c r="D521" s="14">
        <f t="shared" ca="1" si="60"/>
        <v>0.60927703661307198</v>
      </c>
      <c r="E521" s="8">
        <f t="shared" ca="1" si="61"/>
        <v>4</v>
      </c>
      <c r="F521" s="8">
        <f t="shared" ca="1" si="62"/>
        <v>4</v>
      </c>
      <c r="G521" s="14">
        <f t="shared" ca="1" si="63"/>
        <v>0.9765230594933284</v>
      </c>
      <c r="H521" s="8">
        <f t="shared" ca="1" si="64"/>
        <v>19</v>
      </c>
    </row>
    <row r="522" spans="1:8">
      <c r="A522" s="8">
        <v>517</v>
      </c>
      <c r="B522" s="9">
        <f t="shared" ca="1" si="58"/>
        <v>0.41993630348102462</v>
      </c>
      <c r="C522" s="10" t="str">
        <f t="shared" ca="1" si="59"/>
        <v>Navegación</v>
      </c>
      <c r="D522" s="9">
        <f t="shared" ca="1" si="60"/>
        <v>0.28550000244816587</v>
      </c>
      <c r="E522" s="10">
        <f t="shared" ca="1" si="61"/>
        <v>2</v>
      </c>
      <c r="F522" s="10">
        <f t="shared" ca="1" si="62"/>
        <v>5</v>
      </c>
      <c r="G522" s="9">
        <f t="shared" ca="1" si="63"/>
        <v>0.26309499523673185</v>
      </c>
      <c r="H522" s="10">
        <f t="shared" ca="1" si="64"/>
        <v>10</v>
      </c>
    </row>
    <row r="523" spans="1:8">
      <c r="A523" s="8">
        <v>518</v>
      </c>
      <c r="B523" s="14">
        <f t="shared" ca="1" si="58"/>
        <v>1.1470560863724888E-2</v>
      </c>
      <c r="C523" s="8" t="str">
        <f t="shared" ca="1" si="59"/>
        <v>Navegación</v>
      </c>
      <c r="D523" s="14">
        <f t="shared" ca="1" si="60"/>
        <v>0.23444853324004433</v>
      </c>
      <c r="E523" s="8">
        <f t="shared" ca="1" si="61"/>
        <v>2</v>
      </c>
      <c r="F523" s="8">
        <f t="shared" ca="1" si="62"/>
        <v>2</v>
      </c>
      <c r="G523" s="14">
        <f t="shared" ca="1" si="63"/>
        <v>0.33180185427536191</v>
      </c>
      <c r="H523" s="8">
        <f t="shared" ca="1" si="64"/>
        <v>10</v>
      </c>
    </row>
    <row r="524" spans="1:8">
      <c r="A524" s="8">
        <v>519</v>
      </c>
      <c r="B524" s="9">
        <f t="shared" ca="1" si="58"/>
        <v>0.87176638164840992</v>
      </c>
      <c r="C524" s="10" t="str">
        <f t="shared" ca="1" si="59"/>
        <v>Checkout</v>
      </c>
      <c r="D524" s="9">
        <f t="shared" ca="1" si="60"/>
        <v>0.27534225619562869</v>
      </c>
      <c r="E524" s="10">
        <f t="shared" ca="1" si="61"/>
        <v>2</v>
      </c>
      <c r="F524" s="10">
        <f t="shared" ca="1" si="62"/>
        <v>4</v>
      </c>
      <c r="G524" s="9">
        <f t="shared" ca="1" si="63"/>
        <v>0.71315877132482419</v>
      </c>
      <c r="H524" s="10">
        <f t="shared" ca="1" si="64"/>
        <v>14</v>
      </c>
    </row>
    <row r="525" spans="1:8">
      <c r="A525" s="8">
        <v>520</v>
      </c>
      <c r="B525" s="14">
        <f t="shared" ca="1" si="58"/>
        <v>0.60996990688863295</v>
      </c>
      <c r="C525" s="8" t="str">
        <f t="shared" ca="1" si="59"/>
        <v>Carrito</v>
      </c>
      <c r="D525" s="14">
        <f t="shared" ca="1" si="60"/>
        <v>0.22454027136464838</v>
      </c>
      <c r="E525" s="8">
        <f t="shared" ca="1" si="61"/>
        <v>2</v>
      </c>
      <c r="F525" s="8">
        <f t="shared" ca="1" si="62"/>
        <v>2</v>
      </c>
      <c r="G525" s="14">
        <f t="shared" ca="1" si="63"/>
        <v>0.26372720764583824</v>
      </c>
      <c r="H525" s="8">
        <f t="shared" ca="1" si="64"/>
        <v>10</v>
      </c>
    </row>
    <row r="526" spans="1:8">
      <c r="A526" s="8">
        <v>521</v>
      </c>
      <c r="B526" s="9">
        <f t="shared" ca="1" si="58"/>
        <v>0.6071917257306092</v>
      </c>
      <c r="C526" s="10" t="str">
        <f t="shared" ca="1" si="59"/>
        <v>Carrito</v>
      </c>
      <c r="D526" s="9">
        <f t="shared" ca="1" si="60"/>
        <v>0.17810689992840667</v>
      </c>
      <c r="E526" s="10">
        <f t="shared" ca="1" si="61"/>
        <v>1</v>
      </c>
      <c r="F526" s="10">
        <f t="shared" ca="1" si="62"/>
        <v>3</v>
      </c>
      <c r="G526" s="9">
        <f t="shared" ca="1" si="63"/>
        <v>0.97586342416327432</v>
      </c>
      <c r="H526" s="10">
        <f t="shared" ca="1" si="64"/>
        <v>19</v>
      </c>
    </row>
    <row r="527" spans="1:8">
      <c r="A527" s="8">
        <v>522</v>
      </c>
      <c r="B527" s="14">
        <f t="shared" ca="1" si="58"/>
        <v>0.95797442120809095</v>
      </c>
      <c r="C527" s="8" t="str">
        <f t="shared" ca="1" si="59"/>
        <v>Checkout</v>
      </c>
      <c r="D527" s="14">
        <f t="shared" ca="1" si="60"/>
        <v>0.83988038027909229</v>
      </c>
      <c r="E527" s="8">
        <f t="shared" ca="1" si="61"/>
        <v>5</v>
      </c>
      <c r="F527" s="8">
        <f t="shared" ca="1" si="62"/>
        <v>1</v>
      </c>
      <c r="G527" s="14">
        <f t="shared" ca="1" si="63"/>
        <v>0.39711280202546506</v>
      </c>
      <c r="H527" s="8">
        <f t="shared" ca="1" si="64"/>
        <v>11</v>
      </c>
    </row>
    <row r="528" spans="1:8">
      <c r="A528" s="8">
        <v>523</v>
      </c>
      <c r="B528" s="9">
        <f t="shared" ca="1" si="58"/>
        <v>0.8173484452904759</v>
      </c>
      <c r="C528" s="10" t="str">
        <f t="shared" ca="1" si="59"/>
        <v>Carrito</v>
      </c>
      <c r="D528" s="9">
        <f t="shared" ca="1" si="60"/>
        <v>0.21397727561623636</v>
      </c>
      <c r="E528" s="10">
        <f t="shared" ca="1" si="61"/>
        <v>2</v>
      </c>
      <c r="F528" s="10">
        <f t="shared" ca="1" si="62"/>
        <v>5</v>
      </c>
      <c r="G528" s="9">
        <f t="shared" ca="1" si="63"/>
        <v>0.5466589568878697</v>
      </c>
      <c r="H528" s="10">
        <f t="shared" ca="1" si="64"/>
        <v>12</v>
      </c>
    </row>
    <row r="529" spans="1:8">
      <c r="A529" s="8">
        <v>524</v>
      </c>
      <c r="B529" s="14">
        <f t="shared" ca="1" si="58"/>
        <v>0.71148694321273676</v>
      </c>
      <c r="C529" s="8" t="str">
        <f t="shared" ca="1" si="59"/>
        <v>Carrito</v>
      </c>
      <c r="D529" s="14">
        <f t="shared" ca="1" si="60"/>
        <v>0.64891726605084887</v>
      </c>
      <c r="E529" s="8">
        <f t="shared" ca="1" si="61"/>
        <v>4</v>
      </c>
      <c r="F529" s="8">
        <f t="shared" ca="1" si="62"/>
        <v>3</v>
      </c>
      <c r="G529" s="14">
        <f t="shared" ca="1" si="63"/>
        <v>0.87011725342762558</v>
      </c>
      <c r="H529" s="8">
        <f t="shared" ca="1" si="64"/>
        <v>16</v>
      </c>
    </row>
    <row r="530" spans="1:8">
      <c r="A530" s="8">
        <v>525</v>
      </c>
      <c r="B530" s="9">
        <f t="shared" ca="1" si="58"/>
        <v>0.62777854803324074</v>
      </c>
      <c r="C530" s="10" t="str">
        <f t="shared" ca="1" si="59"/>
        <v>Carrito</v>
      </c>
      <c r="D530" s="9">
        <f t="shared" ca="1" si="60"/>
        <v>0.98492900821688401</v>
      </c>
      <c r="E530" s="10">
        <f t="shared" ca="1" si="61"/>
        <v>5</v>
      </c>
      <c r="F530" s="10">
        <f t="shared" ca="1" si="62"/>
        <v>2</v>
      </c>
      <c r="G530" s="9">
        <f t="shared" ca="1" si="63"/>
        <v>0.32774023314934031</v>
      </c>
      <c r="H530" s="10">
        <f t="shared" ca="1" si="64"/>
        <v>10</v>
      </c>
    </row>
    <row r="531" spans="1:8">
      <c r="A531" s="8">
        <v>526</v>
      </c>
      <c r="B531" s="14">
        <f t="shared" ca="1" si="58"/>
        <v>0.18894540880075028</v>
      </c>
      <c r="C531" s="8" t="str">
        <f t="shared" ca="1" si="59"/>
        <v>Navegación</v>
      </c>
      <c r="D531" s="14">
        <f t="shared" ca="1" si="60"/>
        <v>0.55390106900868596</v>
      </c>
      <c r="E531" s="8">
        <f t="shared" ca="1" si="61"/>
        <v>3</v>
      </c>
      <c r="F531" s="8">
        <f t="shared" ca="1" si="62"/>
        <v>2</v>
      </c>
      <c r="G531" s="14">
        <f t="shared" ca="1" si="63"/>
        <v>0.24261285841713964</v>
      </c>
      <c r="H531" s="8">
        <f t="shared" ca="1" si="64"/>
        <v>10</v>
      </c>
    </row>
    <row r="532" spans="1:8">
      <c r="A532" s="8">
        <v>527</v>
      </c>
      <c r="B532" s="9">
        <f t="shared" ca="1" si="58"/>
        <v>0.69159641869897337</v>
      </c>
      <c r="C532" s="10" t="str">
        <f t="shared" ca="1" si="59"/>
        <v>Carrito</v>
      </c>
      <c r="D532" s="9">
        <f t="shared" ca="1" si="60"/>
        <v>0.11236280419287692</v>
      </c>
      <c r="E532" s="10">
        <f t="shared" ca="1" si="61"/>
        <v>1</v>
      </c>
      <c r="F532" s="10">
        <f t="shared" ca="1" si="62"/>
        <v>5</v>
      </c>
      <c r="G532" s="9">
        <f t="shared" ca="1" si="63"/>
        <v>0.42786098326699029</v>
      </c>
      <c r="H532" s="10">
        <f t="shared" ca="1" si="64"/>
        <v>11</v>
      </c>
    </row>
    <row r="533" spans="1:8">
      <c r="A533" s="8">
        <v>528</v>
      </c>
      <c r="B533" s="14">
        <f t="shared" ca="1" si="58"/>
        <v>0.7512292621697324</v>
      </c>
      <c r="C533" s="8" t="str">
        <f t="shared" ca="1" si="59"/>
        <v>Carrito</v>
      </c>
      <c r="D533" s="14">
        <f t="shared" ca="1" si="60"/>
        <v>0.58399367169926597</v>
      </c>
      <c r="E533" s="8">
        <f t="shared" ca="1" si="61"/>
        <v>3</v>
      </c>
      <c r="F533" s="8">
        <f t="shared" ca="1" si="62"/>
        <v>3</v>
      </c>
      <c r="G533" s="14">
        <f t="shared" ca="1" si="63"/>
        <v>0.20856254437837585</v>
      </c>
      <c r="H533" s="8">
        <f t="shared" ca="1" si="64"/>
        <v>9</v>
      </c>
    </row>
    <row r="534" spans="1:8">
      <c r="A534" s="8">
        <v>529</v>
      </c>
      <c r="B534" s="9">
        <f t="shared" ca="1" si="58"/>
        <v>0.75140302862454067</v>
      </c>
      <c r="C534" s="10" t="str">
        <f t="shared" ca="1" si="59"/>
        <v>Carrito</v>
      </c>
      <c r="D534" s="9">
        <f t="shared" ca="1" si="60"/>
        <v>9.4929398088218986E-2</v>
      </c>
      <c r="E534" s="10">
        <f t="shared" ca="1" si="61"/>
        <v>1</v>
      </c>
      <c r="F534" s="10">
        <f t="shared" ca="1" si="62"/>
        <v>2</v>
      </c>
      <c r="G534" s="9">
        <f t="shared" ca="1" si="63"/>
        <v>0.63220443780100111</v>
      </c>
      <c r="H534" s="10">
        <f t="shared" ca="1" si="64"/>
        <v>13</v>
      </c>
    </row>
    <row r="535" spans="1:8">
      <c r="A535" s="8">
        <v>530</v>
      </c>
      <c r="B535" s="14">
        <f t="shared" ca="1" si="58"/>
        <v>0.10045427811392471</v>
      </c>
      <c r="C535" s="8" t="str">
        <f t="shared" ca="1" si="59"/>
        <v>Navegación</v>
      </c>
      <c r="D535" s="14">
        <f t="shared" ca="1" si="60"/>
        <v>0.12061110162857913</v>
      </c>
      <c r="E535" s="8">
        <f t="shared" ca="1" si="61"/>
        <v>1</v>
      </c>
      <c r="F535" s="8">
        <f t="shared" ca="1" si="62"/>
        <v>5</v>
      </c>
      <c r="G535" s="14">
        <f t="shared" ca="1" si="63"/>
        <v>0.18436796662441357</v>
      </c>
      <c r="H535" s="8">
        <f t="shared" ca="1" si="64"/>
        <v>9</v>
      </c>
    </row>
    <row r="536" spans="1:8">
      <c r="A536" s="8">
        <v>531</v>
      </c>
      <c r="B536" s="9">
        <f t="shared" ca="1" si="58"/>
        <v>8.808261868486722E-2</v>
      </c>
      <c r="C536" s="10" t="str">
        <f t="shared" ca="1" si="59"/>
        <v>Navegación</v>
      </c>
      <c r="D536" s="9">
        <f t="shared" ca="1" si="60"/>
        <v>0.14891451906112552</v>
      </c>
      <c r="E536" s="10">
        <f t="shared" ca="1" si="61"/>
        <v>1</v>
      </c>
      <c r="F536" s="10">
        <f t="shared" ca="1" si="62"/>
        <v>2</v>
      </c>
      <c r="G536" s="9">
        <f t="shared" ca="1" si="63"/>
        <v>7.7843715369320443E-2</v>
      </c>
      <c r="H536" s="10">
        <f t="shared" ca="1" si="64"/>
        <v>7</v>
      </c>
    </row>
    <row r="537" spans="1:8">
      <c r="A537" s="8">
        <v>532</v>
      </c>
      <c r="B537" s="14">
        <f t="shared" ca="1" si="58"/>
        <v>0.97462086397333259</v>
      </c>
      <c r="C537" s="8" t="str">
        <f t="shared" ca="1" si="59"/>
        <v>Checkout</v>
      </c>
      <c r="D537" s="14">
        <f t="shared" ca="1" si="60"/>
        <v>0.50087285534479242</v>
      </c>
      <c r="E537" s="8">
        <f t="shared" ca="1" si="61"/>
        <v>3</v>
      </c>
      <c r="F537" s="8">
        <f t="shared" ca="1" si="62"/>
        <v>4</v>
      </c>
      <c r="G537" s="14">
        <f t="shared" ca="1" si="63"/>
        <v>0.20384566030568974</v>
      </c>
      <c r="H537" s="8">
        <f t="shared" ca="1" si="64"/>
        <v>9</v>
      </c>
    </row>
    <row r="538" spans="1:8">
      <c r="A538" s="8">
        <v>533</v>
      </c>
      <c r="B538" s="9">
        <f t="shared" ca="1" si="58"/>
        <v>0.54950007788229538</v>
      </c>
      <c r="C538" s="10" t="str">
        <f t="shared" ca="1" si="59"/>
        <v>Navegación</v>
      </c>
      <c r="D538" s="9">
        <f t="shared" ca="1" si="60"/>
        <v>0.96205933659400689</v>
      </c>
      <c r="E538" s="10">
        <f t="shared" ca="1" si="61"/>
        <v>5</v>
      </c>
      <c r="F538" s="10">
        <f t="shared" ca="1" si="62"/>
        <v>3</v>
      </c>
      <c r="G538" s="9">
        <f t="shared" ca="1" si="63"/>
        <v>5.0907607957257905E-3</v>
      </c>
      <c r="H538" s="10">
        <f t="shared" ca="1" si="64"/>
        <v>4</v>
      </c>
    </row>
    <row r="539" spans="1:8">
      <c r="A539" s="8">
        <v>534</v>
      </c>
      <c r="B539" s="14">
        <f t="shared" ca="1" si="58"/>
        <v>0.72361241964306466</v>
      </c>
      <c r="C539" s="8" t="str">
        <f t="shared" ca="1" si="59"/>
        <v>Carrito</v>
      </c>
      <c r="D539" s="14">
        <f t="shared" ca="1" si="60"/>
        <v>0.43219353494119173</v>
      </c>
      <c r="E539" s="8">
        <f t="shared" ca="1" si="61"/>
        <v>3</v>
      </c>
      <c r="F539" s="8">
        <f t="shared" ca="1" si="62"/>
        <v>2</v>
      </c>
      <c r="G539" s="14">
        <f t="shared" ca="1" si="63"/>
        <v>0.21605388299429384</v>
      </c>
      <c r="H539" s="8">
        <f t="shared" ca="1" si="64"/>
        <v>9</v>
      </c>
    </row>
    <row r="540" spans="1:8">
      <c r="A540" s="8">
        <v>535</v>
      </c>
      <c r="B540" s="9">
        <f t="shared" ca="1" si="58"/>
        <v>0.20426912220339311</v>
      </c>
      <c r="C540" s="10" t="str">
        <f t="shared" ca="1" si="59"/>
        <v>Navegación</v>
      </c>
      <c r="D540" s="9">
        <f t="shared" ca="1" si="60"/>
        <v>0.76534672019524819</v>
      </c>
      <c r="E540" s="10">
        <f t="shared" ca="1" si="61"/>
        <v>4</v>
      </c>
      <c r="F540" s="10">
        <f t="shared" ca="1" si="62"/>
        <v>5</v>
      </c>
      <c r="G540" s="9">
        <f t="shared" ca="1" si="63"/>
        <v>0.85846134681769359</v>
      </c>
      <c r="H540" s="10">
        <f t="shared" ca="1" si="64"/>
        <v>16</v>
      </c>
    </row>
    <row r="541" spans="1:8">
      <c r="A541" s="8">
        <v>536</v>
      </c>
      <c r="B541" s="14">
        <f t="shared" ca="1" si="58"/>
        <v>0.11864589841636541</v>
      </c>
      <c r="C541" s="8" t="str">
        <f t="shared" ca="1" si="59"/>
        <v>Navegación</v>
      </c>
      <c r="D541" s="14">
        <f t="shared" ca="1" si="60"/>
        <v>0.90941581334269117</v>
      </c>
      <c r="E541" s="8">
        <f t="shared" ca="1" si="61"/>
        <v>5</v>
      </c>
      <c r="F541" s="8">
        <f t="shared" ca="1" si="62"/>
        <v>1</v>
      </c>
      <c r="G541" s="14">
        <f t="shared" ca="1" si="63"/>
        <v>4.6263182833465644E-2</v>
      </c>
      <c r="H541" s="8">
        <f t="shared" ca="1" si="64"/>
        <v>7</v>
      </c>
    </row>
    <row r="542" spans="1:8">
      <c r="A542" s="8">
        <v>537</v>
      </c>
      <c r="B542" s="9">
        <f t="shared" ca="1" si="58"/>
        <v>0.81601634133864631</v>
      </c>
      <c r="C542" s="10" t="str">
        <f t="shared" ca="1" si="59"/>
        <v>Carrito</v>
      </c>
      <c r="D542" s="9">
        <f t="shared" ca="1" si="60"/>
        <v>0.13848085833752444</v>
      </c>
      <c r="E542" s="10">
        <f t="shared" ca="1" si="61"/>
        <v>1</v>
      </c>
      <c r="F542" s="10">
        <f t="shared" ca="1" si="62"/>
        <v>2</v>
      </c>
      <c r="G542" s="9">
        <f t="shared" ca="1" si="63"/>
        <v>4.142614836203995E-2</v>
      </c>
      <c r="H542" s="10">
        <f t="shared" ca="1" si="64"/>
        <v>6</v>
      </c>
    </row>
    <row r="543" spans="1:8">
      <c r="A543" s="8">
        <v>538</v>
      </c>
      <c r="B543" s="14">
        <f t="shared" ca="1" si="58"/>
        <v>0.71482737236058791</v>
      </c>
      <c r="C543" s="8" t="str">
        <f t="shared" ca="1" si="59"/>
        <v>Carrito</v>
      </c>
      <c r="D543" s="14">
        <f t="shared" ca="1" si="60"/>
        <v>0.90050113127521358</v>
      </c>
      <c r="E543" s="8">
        <f t="shared" ca="1" si="61"/>
        <v>5</v>
      </c>
      <c r="F543" s="8">
        <f t="shared" ca="1" si="62"/>
        <v>3</v>
      </c>
      <c r="G543" s="14">
        <f t="shared" ca="1" si="63"/>
        <v>0.71099887652296923</v>
      </c>
      <c r="H543" s="8">
        <f t="shared" ca="1" si="64"/>
        <v>14</v>
      </c>
    </row>
    <row r="544" spans="1:8">
      <c r="A544" s="8">
        <v>539</v>
      </c>
      <c r="B544" s="9">
        <f t="shared" ca="1" si="58"/>
        <v>0.98337912546754147</v>
      </c>
      <c r="C544" s="10" t="str">
        <f t="shared" ca="1" si="59"/>
        <v>Checkout</v>
      </c>
      <c r="D544" s="9">
        <f t="shared" ca="1" si="60"/>
        <v>5.4063234665062909E-2</v>
      </c>
      <c r="E544" s="10">
        <f t="shared" ca="1" si="61"/>
        <v>1</v>
      </c>
      <c r="F544" s="10">
        <f t="shared" ca="1" si="62"/>
        <v>1</v>
      </c>
      <c r="G544" s="9">
        <f t="shared" ca="1" si="63"/>
        <v>0.71839820629664708</v>
      </c>
      <c r="H544" s="10">
        <f t="shared" ca="1" si="64"/>
        <v>14</v>
      </c>
    </row>
    <row r="545" spans="1:8">
      <c r="A545" s="8">
        <v>540</v>
      </c>
      <c r="B545" s="14">
        <f t="shared" ca="1" si="58"/>
        <v>0.51406274258760265</v>
      </c>
      <c r="C545" s="8" t="str">
        <f t="shared" ca="1" si="59"/>
        <v>Navegación</v>
      </c>
      <c r="D545" s="14">
        <f t="shared" ca="1" si="60"/>
        <v>0.14783874087624704</v>
      </c>
      <c r="E545" s="8">
        <f t="shared" ca="1" si="61"/>
        <v>1</v>
      </c>
      <c r="F545" s="8">
        <f t="shared" ca="1" si="62"/>
        <v>5</v>
      </c>
      <c r="G545" s="14">
        <f t="shared" ca="1" si="63"/>
        <v>0.57523751666329714</v>
      </c>
      <c r="H545" s="8">
        <f t="shared" ca="1" si="64"/>
        <v>12</v>
      </c>
    </row>
    <row r="546" spans="1:8">
      <c r="A546" s="8">
        <v>541</v>
      </c>
      <c r="B546" s="9">
        <f t="shared" ca="1" si="58"/>
        <v>0.19533000287573876</v>
      </c>
      <c r="C546" s="10" t="str">
        <f t="shared" ca="1" si="59"/>
        <v>Navegación</v>
      </c>
      <c r="D546" s="9">
        <f t="shared" ca="1" si="60"/>
        <v>0.22499556147325084</v>
      </c>
      <c r="E546" s="10">
        <f t="shared" ca="1" si="61"/>
        <v>2</v>
      </c>
      <c r="F546" s="10">
        <f t="shared" ca="1" si="62"/>
        <v>3</v>
      </c>
      <c r="G546" s="9">
        <f t="shared" ca="1" si="63"/>
        <v>4.6093854006779345E-2</v>
      </c>
      <c r="H546" s="10">
        <f t="shared" ca="1" si="64"/>
        <v>7</v>
      </c>
    </row>
    <row r="547" spans="1:8">
      <c r="A547" s="8">
        <v>542</v>
      </c>
      <c r="B547" s="14">
        <f t="shared" ca="1" si="58"/>
        <v>0.7888659154780221</v>
      </c>
      <c r="C547" s="8" t="str">
        <f t="shared" ca="1" si="59"/>
        <v>Carrito</v>
      </c>
      <c r="D547" s="14">
        <f t="shared" ca="1" si="60"/>
        <v>0.1790865198588435</v>
      </c>
      <c r="E547" s="8">
        <f t="shared" ca="1" si="61"/>
        <v>1</v>
      </c>
      <c r="F547" s="8">
        <f t="shared" ca="1" si="62"/>
        <v>4</v>
      </c>
      <c r="G547" s="14">
        <f t="shared" ca="1" si="63"/>
        <v>0.5869877594193621</v>
      </c>
      <c r="H547" s="8">
        <f t="shared" ca="1" si="64"/>
        <v>13</v>
      </c>
    </row>
    <row r="548" spans="1:8">
      <c r="A548" s="8">
        <v>543</v>
      </c>
      <c r="B548" s="9">
        <f t="shared" ca="1" si="58"/>
        <v>0.51390532797616717</v>
      </c>
      <c r="C548" s="10" t="str">
        <f t="shared" ca="1" si="59"/>
        <v>Navegación</v>
      </c>
      <c r="D548" s="9">
        <f t="shared" ca="1" si="60"/>
        <v>0.27238996940410676</v>
      </c>
      <c r="E548" s="10">
        <f t="shared" ca="1" si="61"/>
        <v>2</v>
      </c>
      <c r="F548" s="10">
        <f t="shared" ca="1" si="62"/>
        <v>1</v>
      </c>
      <c r="G548" s="9">
        <f t="shared" ca="1" si="63"/>
        <v>0.63293096801323312</v>
      </c>
      <c r="H548" s="10">
        <f t="shared" ca="1" si="64"/>
        <v>13</v>
      </c>
    </row>
    <row r="549" spans="1:8">
      <c r="A549" s="8">
        <v>544</v>
      </c>
      <c r="B549" s="14">
        <f t="shared" ca="1" si="58"/>
        <v>0.47263457542926368</v>
      </c>
      <c r="C549" s="8" t="str">
        <f t="shared" ca="1" si="59"/>
        <v>Navegación</v>
      </c>
      <c r="D549" s="14">
        <f t="shared" ca="1" si="60"/>
        <v>7.1732950816397301E-2</v>
      </c>
      <c r="E549" s="8">
        <f t="shared" ca="1" si="61"/>
        <v>1</v>
      </c>
      <c r="F549" s="8">
        <f t="shared" ca="1" si="62"/>
        <v>3</v>
      </c>
      <c r="G549" s="14">
        <f t="shared" ca="1" si="63"/>
        <v>0.60909059368138307</v>
      </c>
      <c r="H549" s="8">
        <f t="shared" ca="1" si="64"/>
        <v>13</v>
      </c>
    </row>
    <row r="550" spans="1:8">
      <c r="A550" s="8">
        <v>545</v>
      </c>
      <c r="B550" s="9">
        <f t="shared" ca="1" si="58"/>
        <v>0.28982987375635205</v>
      </c>
      <c r="C550" s="10" t="str">
        <f t="shared" ca="1" si="59"/>
        <v>Navegación</v>
      </c>
      <c r="D550" s="9">
        <f t="shared" ca="1" si="60"/>
        <v>0.38618491320362247</v>
      </c>
      <c r="E550" s="10">
        <f t="shared" ca="1" si="61"/>
        <v>2</v>
      </c>
      <c r="F550" s="10">
        <f t="shared" ca="1" si="62"/>
        <v>1</v>
      </c>
      <c r="G550" s="9">
        <f t="shared" ca="1" si="63"/>
        <v>0.67018054713610464</v>
      </c>
      <c r="H550" s="10">
        <f t="shared" ca="1" si="64"/>
        <v>13</v>
      </c>
    </row>
    <row r="551" spans="1:8">
      <c r="A551" s="8">
        <v>546</v>
      </c>
      <c r="B551" s="14">
        <f t="shared" ca="1" si="58"/>
        <v>0.13822738458218919</v>
      </c>
      <c r="C551" s="8" t="str">
        <f t="shared" ca="1" si="59"/>
        <v>Navegación</v>
      </c>
      <c r="D551" s="14">
        <f t="shared" ca="1" si="60"/>
        <v>0.50826776489801528</v>
      </c>
      <c r="E551" s="8">
        <f t="shared" ca="1" si="61"/>
        <v>3</v>
      </c>
      <c r="F551" s="8">
        <f t="shared" ca="1" si="62"/>
        <v>5</v>
      </c>
      <c r="G551" s="14">
        <f t="shared" ca="1" si="63"/>
        <v>0.66375486684608698</v>
      </c>
      <c r="H551" s="8">
        <f t="shared" ca="1" si="64"/>
        <v>13</v>
      </c>
    </row>
    <row r="552" spans="1:8">
      <c r="A552" s="8">
        <v>547</v>
      </c>
      <c r="B552" s="9">
        <f t="shared" ca="1" si="58"/>
        <v>0.73505283927611109</v>
      </c>
      <c r="C552" s="10" t="str">
        <f t="shared" ca="1" si="59"/>
        <v>Carrito</v>
      </c>
      <c r="D552" s="9">
        <f t="shared" ca="1" si="60"/>
        <v>0.894064948704405</v>
      </c>
      <c r="E552" s="10">
        <f t="shared" ca="1" si="61"/>
        <v>5</v>
      </c>
      <c r="F552" s="10">
        <f t="shared" ca="1" si="62"/>
        <v>5</v>
      </c>
      <c r="G552" s="9">
        <f t="shared" ca="1" si="63"/>
        <v>0.55916432508612979</v>
      </c>
      <c r="H552" s="10">
        <f t="shared" ca="1" si="64"/>
        <v>12</v>
      </c>
    </row>
    <row r="553" spans="1:8">
      <c r="A553" s="8">
        <v>548</v>
      </c>
      <c r="B553" s="14">
        <f t="shared" ca="1" si="58"/>
        <v>0.14290552935965695</v>
      </c>
      <c r="C553" s="8" t="str">
        <f t="shared" ca="1" si="59"/>
        <v>Navegación</v>
      </c>
      <c r="D553" s="14">
        <f t="shared" ca="1" si="60"/>
        <v>0.92794988115942056</v>
      </c>
      <c r="E553" s="8">
        <f t="shared" ca="1" si="61"/>
        <v>5</v>
      </c>
      <c r="F553" s="8">
        <f t="shared" ca="1" si="62"/>
        <v>2</v>
      </c>
      <c r="G553" s="14">
        <f t="shared" ca="1" si="63"/>
        <v>0.25383318399026022</v>
      </c>
      <c r="H553" s="8">
        <f t="shared" ca="1" si="64"/>
        <v>10</v>
      </c>
    </row>
    <row r="554" spans="1:8">
      <c r="A554" s="8">
        <v>549</v>
      </c>
      <c r="B554" s="9">
        <f t="shared" ca="1" si="58"/>
        <v>0.30799044952498345</v>
      </c>
      <c r="C554" s="10" t="str">
        <f t="shared" ca="1" si="59"/>
        <v>Navegación</v>
      </c>
      <c r="D554" s="9">
        <f t="shared" ca="1" si="60"/>
        <v>0.2019823971065231</v>
      </c>
      <c r="E554" s="10">
        <f t="shared" ca="1" si="61"/>
        <v>2</v>
      </c>
      <c r="F554" s="10">
        <f t="shared" ca="1" si="62"/>
        <v>1</v>
      </c>
      <c r="G554" s="9">
        <f t="shared" ca="1" si="63"/>
        <v>0.31150754325891283</v>
      </c>
      <c r="H554" s="10">
        <f t="shared" ca="1" si="64"/>
        <v>10</v>
      </c>
    </row>
    <row r="555" spans="1:8">
      <c r="A555" s="8">
        <v>550</v>
      </c>
      <c r="B555" s="14">
        <f t="shared" ca="1" si="58"/>
        <v>0.31874806677980205</v>
      </c>
      <c r="C555" s="8" t="str">
        <f t="shared" ca="1" si="59"/>
        <v>Navegación</v>
      </c>
      <c r="D555" s="14">
        <f t="shared" ca="1" si="60"/>
        <v>9.3979282862472702E-2</v>
      </c>
      <c r="E555" s="8">
        <f t="shared" ca="1" si="61"/>
        <v>1</v>
      </c>
      <c r="F555" s="8">
        <f t="shared" ca="1" si="62"/>
        <v>3</v>
      </c>
      <c r="G555" s="14">
        <f t="shared" ca="1" si="63"/>
        <v>0.95350361518523852</v>
      </c>
      <c r="H555" s="8">
        <f t="shared" ca="1" si="64"/>
        <v>18</v>
      </c>
    </row>
    <row r="556" spans="1:8">
      <c r="A556" s="8">
        <v>551</v>
      </c>
      <c r="B556" s="9">
        <f t="shared" ca="1" si="58"/>
        <v>0.33172457137743427</v>
      </c>
      <c r="C556" s="10" t="str">
        <f t="shared" ca="1" si="59"/>
        <v>Navegación</v>
      </c>
      <c r="D556" s="9">
        <f t="shared" ca="1" si="60"/>
        <v>0.10520287110785675</v>
      </c>
      <c r="E556" s="10">
        <f t="shared" ca="1" si="61"/>
        <v>1</v>
      </c>
      <c r="F556" s="10">
        <f t="shared" ca="1" si="62"/>
        <v>2</v>
      </c>
      <c r="G556" s="9">
        <f t="shared" ca="1" si="63"/>
        <v>0.84523402344761733</v>
      </c>
      <c r="H556" s="10">
        <f t="shared" ca="1" si="64"/>
        <v>16</v>
      </c>
    </row>
    <row r="557" spans="1:8">
      <c r="A557" s="8">
        <v>552</v>
      </c>
      <c r="B557" s="14">
        <f t="shared" ca="1" si="58"/>
        <v>0.35575541637663688</v>
      </c>
      <c r="C557" s="8" t="str">
        <f t="shared" ca="1" si="59"/>
        <v>Navegación</v>
      </c>
      <c r="D557" s="14">
        <f t="shared" ca="1" si="60"/>
        <v>0.14242170591374159</v>
      </c>
      <c r="E557" s="8">
        <f t="shared" ca="1" si="61"/>
        <v>1</v>
      </c>
      <c r="F557" s="8">
        <f t="shared" ca="1" si="62"/>
        <v>2</v>
      </c>
      <c r="G557" s="14">
        <f t="shared" ca="1" si="63"/>
        <v>2.9077872039758867E-2</v>
      </c>
      <c r="H557" s="8">
        <f t="shared" ca="1" si="64"/>
        <v>6</v>
      </c>
    </row>
    <row r="558" spans="1:8">
      <c r="A558" s="8">
        <v>553</v>
      </c>
      <c r="B558" s="9">
        <f t="shared" ca="1" si="58"/>
        <v>1.5805241575494011E-2</v>
      </c>
      <c r="C558" s="10" t="str">
        <f t="shared" ca="1" si="59"/>
        <v>Navegación</v>
      </c>
      <c r="D558" s="9">
        <f t="shared" ca="1" si="60"/>
        <v>0.84126275959127494</v>
      </c>
      <c r="E558" s="10">
        <f t="shared" ca="1" si="61"/>
        <v>5</v>
      </c>
      <c r="F558" s="10">
        <f t="shared" ca="1" si="62"/>
        <v>4</v>
      </c>
      <c r="G558" s="9">
        <f t="shared" ca="1" si="63"/>
        <v>0.62413727251750262</v>
      </c>
      <c r="H558" s="10">
        <f t="shared" ca="1" si="64"/>
        <v>13</v>
      </c>
    </row>
    <row r="559" spans="1:8">
      <c r="A559" s="8">
        <v>554</v>
      </c>
      <c r="B559" s="14">
        <f t="shared" ca="1" si="58"/>
        <v>0.52602417897906861</v>
      </c>
      <c r="C559" s="8" t="str">
        <f t="shared" ca="1" si="59"/>
        <v>Navegación</v>
      </c>
      <c r="D559" s="14">
        <f t="shared" ca="1" si="60"/>
        <v>0.14227928704691584</v>
      </c>
      <c r="E559" s="8">
        <f t="shared" ca="1" si="61"/>
        <v>1</v>
      </c>
      <c r="F559" s="8">
        <f t="shared" ca="1" si="62"/>
        <v>4</v>
      </c>
      <c r="G559" s="14">
        <f t="shared" ca="1" si="63"/>
        <v>0.25899727668831685</v>
      </c>
      <c r="H559" s="8">
        <f t="shared" ca="1" si="64"/>
        <v>10</v>
      </c>
    </row>
    <row r="560" spans="1:8">
      <c r="A560" s="8">
        <v>555</v>
      </c>
      <c r="B560" s="9">
        <f t="shared" ca="1" si="58"/>
        <v>0.10749643927217789</v>
      </c>
      <c r="C560" s="10" t="str">
        <f t="shared" ca="1" si="59"/>
        <v>Navegación</v>
      </c>
      <c r="D560" s="9">
        <f t="shared" ca="1" si="60"/>
        <v>0.78391767881383767</v>
      </c>
      <c r="E560" s="10">
        <f t="shared" ca="1" si="61"/>
        <v>4</v>
      </c>
      <c r="F560" s="10">
        <f t="shared" ca="1" si="62"/>
        <v>3</v>
      </c>
      <c r="G560" s="9">
        <f t="shared" ca="1" si="63"/>
        <v>0.21938588404566417</v>
      </c>
      <c r="H560" s="10">
        <f t="shared" ca="1" si="64"/>
        <v>9</v>
      </c>
    </row>
    <row r="561" spans="1:8">
      <c r="A561" s="8">
        <v>556</v>
      </c>
      <c r="B561" s="14">
        <f t="shared" ca="1" si="58"/>
        <v>0.40568693750060314</v>
      </c>
      <c r="C561" s="8" t="str">
        <f t="shared" ca="1" si="59"/>
        <v>Navegación</v>
      </c>
      <c r="D561" s="14">
        <f t="shared" ca="1" si="60"/>
        <v>0.10460106221859922</v>
      </c>
      <c r="E561" s="8">
        <f t="shared" ca="1" si="61"/>
        <v>1</v>
      </c>
      <c r="F561" s="8">
        <f t="shared" ca="1" si="62"/>
        <v>3</v>
      </c>
      <c r="G561" s="14">
        <f t="shared" ca="1" si="63"/>
        <v>0.38177058694810362</v>
      </c>
      <c r="H561" s="8">
        <f t="shared" ca="1" si="64"/>
        <v>11</v>
      </c>
    </row>
    <row r="562" spans="1:8">
      <c r="A562" s="8">
        <v>557</v>
      </c>
      <c r="B562" s="9">
        <f t="shared" ca="1" si="58"/>
        <v>0.42182001807545133</v>
      </c>
      <c r="C562" s="10" t="str">
        <f t="shared" ca="1" si="59"/>
        <v>Navegación</v>
      </c>
      <c r="D562" s="9">
        <f t="shared" ca="1" si="60"/>
        <v>0.8937281228752143</v>
      </c>
      <c r="E562" s="10">
        <f t="shared" ca="1" si="61"/>
        <v>5</v>
      </c>
      <c r="F562" s="10">
        <f t="shared" ca="1" si="62"/>
        <v>1</v>
      </c>
      <c r="G562" s="9">
        <f t="shared" ca="1" si="63"/>
        <v>0.708946080543014</v>
      </c>
      <c r="H562" s="10">
        <f t="shared" ca="1" si="64"/>
        <v>14</v>
      </c>
    </row>
    <row r="563" spans="1:8">
      <c r="A563" s="8">
        <v>558</v>
      </c>
      <c r="B563" s="14">
        <f t="shared" ca="1" si="58"/>
        <v>0.81786289649779331</v>
      </c>
      <c r="C563" s="8" t="str">
        <f t="shared" ca="1" si="59"/>
        <v>Carrito</v>
      </c>
      <c r="D563" s="14">
        <f t="shared" ca="1" si="60"/>
        <v>0.65712030692957213</v>
      </c>
      <c r="E563" s="8">
        <f t="shared" ca="1" si="61"/>
        <v>4</v>
      </c>
      <c r="F563" s="8">
        <f t="shared" ca="1" si="62"/>
        <v>4</v>
      </c>
      <c r="G563" s="14">
        <f t="shared" ca="1" si="63"/>
        <v>0.57504760248079456</v>
      </c>
      <c r="H563" s="8">
        <f t="shared" ca="1" si="64"/>
        <v>12</v>
      </c>
    </row>
    <row r="564" spans="1:8">
      <c r="A564" s="8">
        <v>559</v>
      </c>
      <c r="B564" s="9">
        <f t="shared" ca="1" si="58"/>
        <v>0.54446484325878219</v>
      </c>
      <c r="C564" s="10" t="str">
        <f t="shared" ca="1" si="59"/>
        <v>Navegación</v>
      </c>
      <c r="D564" s="9">
        <f t="shared" ca="1" si="60"/>
        <v>0.34298336808190266</v>
      </c>
      <c r="E564" s="10">
        <f t="shared" ca="1" si="61"/>
        <v>2</v>
      </c>
      <c r="F564" s="10">
        <f t="shared" ca="1" si="62"/>
        <v>1</v>
      </c>
      <c r="G564" s="9">
        <f t="shared" ca="1" si="63"/>
        <v>0.76852604431065308</v>
      </c>
      <c r="H564" s="10">
        <f t="shared" ca="1" si="64"/>
        <v>14</v>
      </c>
    </row>
    <row r="565" spans="1:8">
      <c r="A565" s="8">
        <v>560</v>
      </c>
      <c r="B565" s="14">
        <f t="shared" ca="1" si="58"/>
        <v>0.74119749679241764</v>
      </c>
      <c r="C565" s="8" t="str">
        <f t="shared" ca="1" si="59"/>
        <v>Carrito</v>
      </c>
      <c r="D565" s="14">
        <f t="shared" ca="1" si="60"/>
        <v>0.21815577888512572</v>
      </c>
      <c r="E565" s="8">
        <f t="shared" ca="1" si="61"/>
        <v>2</v>
      </c>
      <c r="F565" s="8">
        <f t="shared" ca="1" si="62"/>
        <v>3</v>
      </c>
      <c r="G565" s="14">
        <f t="shared" ca="1" si="63"/>
        <v>0.85796987471826514</v>
      </c>
      <c r="H565" s="8">
        <f t="shared" ca="1" si="64"/>
        <v>16</v>
      </c>
    </row>
    <row r="566" spans="1:8">
      <c r="A566" s="8">
        <v>561</v>
      </c>
      <c r="B566" s="9">
        <f t="shared" ca="1" si="58"/>
        <v>0.13144390971933539</v>
      </c>
      <c r="C566" s="10" t="str">
        <f t="shared" ca="1" si="59"/>
        <v>Navegación</v>
      </c>
      <c r="D566" s="9">
        <f t="shared" ca="1" si="60"/>
        <v>0.65644520928782302</v>
      </c>
      <c r="E566" s="10">
        <f t="shared" ca="1" si="61"/>
        <v>4</v>
      </c>
      <c r="F566" s="10">
        <f t="shared" ca="1" si="62"/>
        <v>3</v>
      </c>
      <c r="G566" s="9">
        <f t="shared" ca="1" si="63"/>
        <v>0.64265381477866057</v>
      </c>
      <c r="H566" s="10">
        <f t="shared" ca="1" si="64"/>
        <v>13</v>
      </c>
    </row>
    <row r="567" spans="1:8">
      <c r="A567" s="8">
        <v>562</v>
      </c>
      <c r="B567" s="14">
        <f t="shared" ca="1" si="58"/>
        <v>0.9387652708328682</v>
      </c>
      <c r="C567" s="8" t="str">
        <f t="shared" ca="1" si="59"/>
        <v>Checkout</v>
      </c>
      <c r="D567" s="14">
        <f t="shared" ca="1" si="60"/>
        <v>0.72123054856744007</v>
      </c>
      <c r="E567" s="8">
        <f t="shared" ca="1" si="61"/>
        <v>4</v>
      </c>
      <c r="F567" s="8">
        <f t="shared" ca="1" si="62"/>
        <v>1</v>
      </c>
      <c r="G567" s="14">
        <f t="shared" ca="1" si="63"/>
        <v>0.3968032742837222</v>
      </c>
      <c r="H567" s="8">
        <f t="shared" ca="1" si="64"/>
        <v>11</v>
      </c>
    </row>
    <row r="568" spans="1:8">
      <c r="A568" s="8">
        <v>563</v>
      </c>
      <c r="B568" s="9">
        <f t="shared" ca="1" si="58"/>
        <v>0.39698260623199177</v>
      </c>
      <c r="C568" s="10" t="str">
        <f t="shared" ca="1" si="59"/>
        <v>Navegación</v>
      </c>
      <c r="D568" s="9">
        <f t="shared" ca="1" si="60"/>
        <v>3.6874381058326078E-3</v>
      </c>
      <c r="E568" s="10">
        <f t="shared" ca="1" si="61"/>
        <v>1</v>
      </c>
      <c r="F568" s="10">
        <f t="shared" ca="1" si="62"/>
        <v>2</v>
      </c>
      <c r="G568" s="9">
        <f t="shared" ca="1" si="63"/>
        <v>0.54973215753387628</v>
      </c>
      <c r="H568" s="10">
        <f t="shared" ca="1" si="64"/>
        <v>12</v>
      </c>
    </row>
    <row r="569" spans="1:8">
      <c r="A569" s="8">
        <v>564</v>
      </c>
      <c r="B569" s="14">
        <f t="shared" ca="1" si="58"/>
        <v>0.68129920560914292</v>
      </c>
      <c r="C569" s="8" t="str">
        <f t="shared" ca="1" si="59"/>
        <v>Carrito</v>
      </c>
      <c r="D569" s="14">
        <f t="shared" ca="1" si="60"/>
        <v>0.27216652408874009</v>
      </c>
      <c r="E569" s="8">
        <f t="shared" ca="1" si="61"/>
        <v>2</v>
      </c>
      <c r="F569" s="8">
        <f t="shared" ca="1" si="62"/>
        <v>4</v>
      </c>
      <c r="G569" s="14">
        <f t="shared" ca="1" si="63"/>
        <v>1.3848649879844022E-3</v>
      </c>
      <c r="H569" s="8">
        <f t="shared" ca="1" si="64"/>
        <v>3</v>
      </c>
    </row>
    <row r="570" spans="1:8">
      <c r="A570" s="8">
        <v>565</v>
      </c>
      <c r="B570" s="9">
        <f t="shared" ca="1" si="58"/>
        <v>0.96460961397682832</v>
      </c>
      <c r="C570" s="10" t="str">
        <f t="shared" ca="1" si="59"/>
        <v>Checkout</v>
      </c>
      <c r="D570" s="9">
        <f t="shared" ca="1" si="60"/>
        <v>0.1489938340995568</v>
      </c>
      <c r="E570" s="10">
        <f t="shared" ca="1" si="61"/>
        <v>1</v>
      </c>
      <c r="F570" s="10">
        <f t="shared" ca="1" si="62"/>
        <v>5</v>
      </c>
      <c r="G570" s="9">
        <f t="shared" ca="1" si="63"/>
        <v>0.40756367161802032</v>
      </c>
      <c r="H570" s="10">
        <f t="shared" ca="1" si="64"/>
        <v>11</v>
      </c>
    </row>
    <row r="571" spans="1:8">
      <c r="A571" s="8">
        <v>566</v>
      </c>
      <c r="B571" s="14">
        <f t="shared" ca="1" si="58"/>
        <v>4.2828320407628184E-2</v>
      </c>
      <c r="C571" s="8" t="str">
        <f t="shared" ca="1" si="59"/>
        <v>Navegación</v>
      </c>
      <c r="D571" s="14">
        <f t="shared" ca="1" si="60"/>
        <v>6.658430202392196E-2</v>
      </c>
      <c r="E571" s="8">
        <f t="shared" ca="1" si="61"/>
        <v>1</v>
      </c>
      <c r="F571" s="8">
        <f t="shared" ca="1" si="62"/>
        <v>2</v>
      </c>
      <c r="G571" s="14">
        <f t="shared" ca="1" si="63"/>
        <v>0.80082452279270755</v>
      </c>
      <c r="H571" s="8">
        <f t="shared" ca="1" si="64"/>
        <v>15</v>
      </c>
    </row>
    <row r="572" spans="1:8">
      <c r="A572" s="8">
        <v>567</v>
      </c>
      <c r="B572" s="9">
        <f t="shared" ca="1" si="58"/>
        <v>0.52465548092489556</v>
      </c>
      <c r="C572" s="10" t="str">
        <f t="shared" ca="1" si="59"/>
        <v>Navegación</v>
      </c>
      <c r="D572" s="9">
        <f t="shared" ca="1" si="60"/>
        <v>5.4856970602434107E-2</v>
      </c>
      <c r="E572" s="10">
        <f t="shared" ca="1" si="61"/>
        <v>1</v>
      </c>
      <c r="F572" s="10">
        <f t="shared" ca="1" si="62"/>
        <v>2</v>
      </c>
      <c r="G572" s="9">
        <f t="shared" ca="1" si="63"/>
        <v>0.95679538352010685</v>
      </c>
      <c r="H572" s="10">
        <f t="shared" ca="1" si="64"/>
        <v>18</v>
      </c>
    </row>
    <row r="573" spans="1:8">
      <c r="A573" s="8">
        <v>568</v>
      </c>
      <c r="B573" s="14">
        <f t="shared" ca="1" si="58"/>
        <v>0.90782644532078971</v>
      </c>
      <c r="C573" s="8" t="str">
        <f t="shared" ca="1" si="59"/>
        <v>Checkout</v>
      </c>
      <c r="D573" s="14">
        <f t="shared" ca="1" si="60"/>
        <v>0.66545497735784154</v>
      </c>
      <c r="E573" s="8">
        <f t="shared" ca="1" si="61"/>
        <v>4</v>
      </c>
      <c r="F573" s="8">
        <f t="shared" ca="1" si="62"/>
        <v>2</v>
      </c>
      <c r="G573" s="14">
        <f t="shared" ca="1" si="63"/>
        <v>0.7111128025570369</v>
      </c>
      <c r="H573" s="8">
        <f t="shared" ca="1" si="64"/>
        <v>14</v>
      </c>
    </row>
    <row r="574" spans="1:8">
      <c r="A574" s="8">
        <v>569</v>
      </c>
      <c r="B574" s="9">
        <f t="shared" ca="1" si="58"/>
        <v>0.61446734767137456</v>
      </c>
      <c r="C574" s="10" t="str">
        <f t="shared" ca="1" si="59"/>
        <v>Carrito</v>
      </c>
      <c r="D574" s="9">
        <f t="shared" ca="1" si="60"/>
        <v>0.15975081854604323</v>
      </c>
      <c r="E574" s="10">
        <f t="shared" ca="1" si="61"/>
        <v>1</v>
      </c>
      <c r="F574" s="10">
        <f t="shared" ca="1" si="62"/>
        <v>4</v>
      </c>
      <c r="G574" s="9">
        <f t="shared" ca="1" si="63"/>
        <v>0.34994909367803451</v>
      </c>
      <c r="H574" s="10">
        <f t="shared" ca="1" si="64"/>
        <v>11</v>
      </c>
    </row>
    <row r="575" spans="1:8">
      <c r="A575" s="8">
        <v>570</v>
      </c>
      <c r="B575" s="14">
        <f t="shared" ca="1" si="58"/>
        <v>0.59373395029763476</v>
      </c>
      <c r="C575" s="8" t="str">
        <f t="shared" ca="1" si="59"/>
        <v>Carrito</v>
      </c>
      <c r="D575" s="14">
        <f t="shared" ca="1" si="60"/>
        <v>0.67193016373075443</v>
      </c>
      <c r="E575" s="8">
        <f t="shared" ca="1" si="61"/>
        <v>4</v>
      </c>
      <c r="F575" s="8">
        <f t="shared" ca="1" si="62"/>
        <v>3</v>
      </c>
      <c r="G575" s="14">
        <f t="shared" ca="1" si="63"/>
        <v>0.94154197906568704</v>
      </c>
      <c r="H575" s="8">
        <f t="shared" ca="1" si="64"/>
        <v>18</v>
      </c>
    </row>
    <row r="576" spans="1:8">
      <c r="A576" s="8">
        <v>571</v>
      </c>
      <c r="B576" s="9">
        <f t="shared" ca="1" si="58"/>
        <v>5.18097034064956E-2</v>
      </c>
      <c r="C576" s="10" t="str">
        <f t="shared" ca="1" si="59"/>
        <v>Navegación</v>
      </c>
      <c r="D576" s="9">
        <f t="shared" ca="1" si="60"/>
        <v>0.99646112350312566</v>
      </c>
      <c r="E576" s="10">
        <f t="shared" ca="1" si="61"/>
        <v>5</v>
      </c>
      <c r="F576" s="10">
        <f t="shared" ca="1" si="62"/>
        <v>1</v>
      </c>
      <c r="G576" s="9">
        <f t="shared" ca="1" si="63"/>
        <v>0.80494414663476599</v>
      </c>
      <c r="H576" s="10">
        <f t="shared" ca="1" si="64"/>
        <v>15</v>
      </c>
    </row>
    <row r="577" spans="1:8">
      <c r="A577" s="8">
        <v>572</v>
      </c>
      <c r="B577" s="14">
        <f t="shared" ca="1" si="58"/>
        <v>0.63920669318783307</v>
      </c>
      <c r="C577" s="8" t="str">
        <f t="shared" ca="1" si="59"/>
        <v>Carrito</v>
      </c>
      <c r="D577" s="14">
        <f t="shared" ca="1" si="60"/>
        <v>1.2108216609098554E-2</v>
      </c>
      <c r="E577" s="8">
        <f t="shared" ca="1" si="61"/>
        <v>1</v>
      </c>
      <c r="F577" s="8">
        <f t="shared" ca="1" si="62"/>
        <v>1</v>
      </c>
      <c r="G577" s="14">
        <f t="shared" ca="1" si="63"/>
        <v>1.4713848776085614E-2</v>
      </c>
      <c r="H577" s="8">
        <f t="shared" ca="1" si="64"/>
        <v>5</v>
      </c>
    </row>
    <row r="578" spans="1:8">
      <c r="A578" s="8">
        <v>573</v>
      </c>
      <c r="B578" s="9">
        <f t="shared" ca="1" si="58"/>
        <v>0.16972652546886713</v>
      </c>
      <c r="C578" s="10" t="str">
        <f t="shared" ca="1" si="59"/>
        <v>Navegación</v>
      </c>
      <c r="D578" s="9">
        <f t="shared" ca="1" si="60"/>
        <v>0.36657070753527232</v>
      </c>
      <c r="E578" s="10">
        <f t="shared" ca="1" si="61"/>
        <v>2</v>
      </c>
      <c r="F578" s="10">
        <f t="shared" ca="1" si="62"/>
        <v>5</v>
      </c>
      <c r="G578" s="9">
        <f t="shared" ca="1" si="63"/>
        <v>0.41973111223026838</v>
      </c>
      <c r="H578" s="10">
        <f t="shared" ca="1" si="64"/>
        <v>11</v>
      </c>
    </row>
    <row r="579" spans="1:8">
      <c r="A579" s="8">
        <v>574</v>
      </c>
      <c r="B579" s="14">
        <f t="shared" ca="1" si="58"/>
        <v>4.2132268375637105E-2</v>
      </c>
      <c r="C579" s="8" t="str">
        <f t="shared" ca="1" si="59"/>
        <v>Navegación</v>
      </c>
      <c r="D579" s="14">
        <f t="shared" ca="1" si="60"/>
        <v>0.53302060124078876</v>
      </c>
      <c r="E579" s="8">
        <f t="shared" ca="1" si="61"/>
        <v>3</v>
      </c>
      <c r="F579" s="8">
        <f t="shared" ca="1" si="62"/>
        <v>3</v>
      </c>
      <c r="G579" s="14">
        <f t="shared" ca="1" si="63"/>
        <v>0.61982301577594345</v>
      </c>
      <c r="H579" s="8">
        <f t="shared" ca="1" si="64"/>
        <v>13</v>
      </c>
    </row>
    <row r="580" spans="1:8">
      <c r="A580" s="8">
        <v>575</v>
      </c>
      <c r="B580" s="9">
        <f t="shared" ca="1" si="58"/>
        <v>0.61581728538669278</v>
      </c>
      <c r="C580" s="10" t="str">
        <f t="shared" ca="1" si="59"/>
        <v>Carrito</v>
      </c>
      <c r="D580" s="9">
        <f t="shared" ca="1" si="60"/>
        <v>0.64693422142008838</v>
      </c>
      <c r="E580" s="10">
        <f t="shared" ca="1" si="61"/>
        <v>4</v>
      </c>
      <c r="F580" s="10">
        <f t="shared" ca="1" si="62"/>
        <v>1</v>
      </c>
      <c r="G580" s="9">
        <f t="shared" ca="1" si="63"/>
        <v>0.41867099721051504</v>
      </c>
      <c r="H580" s="10">
        <f t="shared" ca="1" si="64"/>
        <v>11</v>
      </c>
    </row>
    <row r="581" spans="1:8">
      <c r="A581" s="8">
        <v>576</v>
      </c>
      <c r="B581" s="14">
        <f t="shared" ca="1" si="58"/>
        <v>0.35916743418802155</v>
      </c>
      <c r="C581" s="8" t="str">
        <f t="shared" ca="1" si="59"/>
        <v>Navegación</v>
      </c>
      <c r="D581" s="14">
        <f t="shared" ca="1" si="60"/>
        <v>0.46353366803196749</v>
      </c>
      <c r="E581" s="8">
        <f t="shared" ca="1" si="61"/>
        <v>3</v>
      </c>
      <c r="F581" s="8">
        <f t="shared" ca="1" si="62"/>
        <v>2</v>
      </c>
      <c r="G581" s="14">
        <f t="shared" ca="1" si="63"/>
        <v>0.42993934407708934</v>
      </c>
      <c r="H581" s="8">
        <f t="shared" ca="1" si="64"/>
        <v>11</v>
      </c>
    </row>
    <row r="582" spans="1:8">
      <c r="A582" s="8">
        <v>577</v>
      </c>
      <c r="B582" s="9">
        <f t="shared" ref="B582:B645" ca="1" si="65">RAND()</f>
        <v>0.35969925775869871</v>
      </c>
      <c r="C582" s="10" t="str">
        <f t="shared" ref="C582:C645" ca="1" si="66">VLOOKUP(B582, $J$6:$K$8, 2, TRUE)</f>
        <v>Navegación</v>
      </c>
      <c r="D582" s="9">
        <f t="shared" ref="D582:D645" ca="1" si="67">RAND()</f>
        <v>1.4573112862256266E-2</v>
      </c>
      <c r="E582" s="10">
        <f t="shared" ref="E582:E645" ca="1" si="68">INT(D582*($O$7-$O$6+1))+$O$6</f>
        <v>1</v>
      </c>
      <c r="F582" s="10">
        <f t="shared" ref="F582:F645" ca="1" si="69">RANDBETWEEN($O$6, $O$7)</f>
        <v>4</v>
      </c>
      <c r="G582" s="9">
        <f t="shared" ref="G582:G645" ca="1" si="70">RAND()</f>
        <v>0.67026294446554857</v>
      </c>
      <c r="H582" s="10">
        <f t="shared" ref="H582:H645" ca="1" si="71">VLOOKUP(G582, $W$5:$X$39, 2, TRUE)</f>
        <v>13</v>
      </c>
    </row>
    <row r="583" spans="1:8">
      <c r="A583" s="8">
        <v>578</v>
      </c>
      <c r="B583" s="14">
        <f t="shared" ca="1" si="65"/>
        <v>0.25437514380999049</v>
      </c>
      <c r="C583" s="8" t="str">
        <f t="shared" ca="1" si="66"/>
        <v>Navegación</v>
      </c>
      <c r="D583" s="14">
        <f t="shared" ca="1" si="67"/>
        <v>0.96049933229533402</v>
      </c>
      <c r="E583" s="8">
        <f t="shared" ca="1" si="68"/>
        <v>5</v>
      </c>
      <c r="F583" s="8">
        <f t="shared" ca="1" si="69"/>
        <v>4</v>
      </c>
      <c r="G583" s="14">
        <f t="shared" ca="1" si="70"/>
        <v>0.12583208919258848</v>
      </c>
      <c r="H583" s="8">
        <f t="shared" ca="1" si="71"/>
        <v>8</v>
      </c>
    </row>
    <row r="584" spans="1:8">
      <c r="A584" s="8">
        <v>579</v>
      </c>
      <c r="B584" s="9">
        <f t="shared" ca="1" si="65"/>
        <v>0.87100636406658705</v>
      </c>
      <c r="C584" s="10" t="str">
        <f t="shared" ca="1" si="66"/>
        <v>Checkout</v>
      </c>
      <c r="D584" s="9">
        <f t="shared" ca="1" si="67"/>
        <v>0.65855100357406871</v>
      </c>
      <c r="E584" s="10">
        <f t="shared" ca="1" si="68"/>
        <v>4</v>
      </c>
      <c r="F584" s="10">
        <f t="shared" ca="1" si="69"/>
        <v>5</v>
      </c>
      <c r="G584" s="9">
        <f t="shared" ca="1" si="70"/>
        <v>0.9583595959182083</v>
      </c>
      <c r="H584" s="10">
        <f t="shared" ca="1" si="71"/>
        <v>18</v>
      </c>
    </row>
    <row r="585" spans="1:8">
      <c r="A585" s="8">
        <v>580</v>
      </c>
      <c r="B585" s="14">
        <f t="shared" ca="1" si="65"/>
        <v>0.94973836738092143</v>
      </c>
      <c r="C585" s="8" t="str">
        <f t="shared" ca="1" si="66"/>
        <v>Checkout</v>
      </c>
      <c r="D585" s="14">
        <f t="shared" ca="1" si="67"/>
        <v>0.12980843396611863</v>
      </c>
      <c r="E585" s="8">
        <f t="shared" ca="1" si="68"/>
        <v>1</v>
      </c>
      <c r="F585" s="8">
        <f t="shared" ca="1" si="69"/>
        <v>1</v>
      </c>
      <c r="G585" s="14">
        <f t="shared" ca="1" si="70"/>
        <v>0.821941499186018</v>
      </c>
      <c r="H585" s="8">
        <f t="shared" ca="1" si="71"/>
        <v>15</v>
      </c>
    </row>
    <row r="586" spans="1:8">
      <c r="A586" s="8">
        <v>581</v>
      </c>
      <c r="B586" s="9">
        <f t="shared" ca="1" si="65"/>
        <v>0.98283001254753877</v>
      </c>
      <c r="C586" s="10" t="str">
        <f t="shared" ca="1" si="66"/>
        <v>Checkout</v>
      </c>
      <c r="D586" s="9">
        <f t="shared" ca="1" si="67"/>
        <v>0.40037505892531766</v>
      </c>
      <c r="E586" s="10">
        <f t="shared" ca="1" si="68"/>
        <v>3</v>
      </c>
      <c r="F586" s="10">
        <f t="shared" ca="1" si="69"/>
        <v>1</v>
      </c>
      <c r="G586" s="9">
        <f t="shared" ca="1" si="70"/>
        <v>0.18164971999548352</v>
      </c>
      <c r="H586" s="10">
        <f t="shared" ca="1" si="71"/>
        <v>9</v>
      </c>
    </row>
    <row r="587" spans="1:8">
      <c r="A587" s="8">
        <v>582</v>
      </c>
      <c r="B587" s="14">
        <f t="shared" ca="1" si="65"/>
        <v>0.78912344478174201</v>
      </c>
      <c r="C587" s="8" t="str">
        <f t="shared" ca="1" si="66"/>
        <v>Carrito</v>
      </c>
      <c r="D587" s="14">
        <f t="shared" ca="1" si="67"/>
        <v>0.54375358106770988</v>
      </c>
      <c r="E587" s="8">
        <f t="shared" ca="1" si="68"/>
        <v>3</v>
      </c>
      <c r="F587" s="8">
        <f t="shared" ca="1" si="69"/>
        <v>2</v>
      </c>
      <c r="G587" s="14">
        <f t="shared" ca="1" si="70"/>
        <v>0.39734560270787</v>
      </c>
      <c r="H587" s="8">
        <f t="shared" ca="1" si="71"/>
        <v>11</v>
      </c>
    </row>
    <row r="588" spans="1:8">
      <c r="A588" s="8">
        <v>583</v>
      </c>
      <c r="B588" s="9">
        <f t="shared" ca="1" si="65"/>
        <v>0.31721534758734171</v>
      </c>
      <c r="C588" s="10" t="str">
        <f t="shared" ca="1" si="66"/>
        <v>Navegación</v>
      </c>
      <c r="D588" s="9">
        <f t="shared" ca="1" si="67"/>
        <v>0.42393458694062292</v>
      </c>
      <c r="E588" s="10">
        <f t="shared" ca="1" si="68"/>
        <v>3</v>
      </c>
      <c r="F588" s="10">
        <f t="shared" ca="1" si="69"/>
        <v>4</v>
      </c>
      <c r="G588" s="9">
        <f t="shared" ca="1" si="70"/>
        <v>0.25440455331587497</v>
      </c>
      <c r="H588" s="10">
        <f t="shared" ca="1" si="71"/>
        <v>10</v>
      </c>
    </row>
    <row r="589" spans="1:8">
      <c r="A589" s="8">
        <v>584</v>
      </c>
      <c r="B589" s="14">
        <f t="shared" ca="1" si="65"/>
        <v>0.44334878863663507</v>
      </c>
      <c r="C589" s="8" t="str">
        <f t="shared" ca="1" si="66"/>
        <v>Navegación</v>
      </c>
      <c r="D589" s="14">
        <f t="shared" ca="1" si="67"/>
        <v>0.72211083184214331</v>
      </c>
      <c r="E589" s="8">
        <f t="shared" ca="1" si="68"/>
        <v>4</v>
      </c>
      <c r="F589" s="8">
        <f t="shared" ca="1" si="69"/>
        <v>3</v>
      </c>
      <c r="G589" s="14">
        <f t="shared" ca="1" si="70"/>
        <v>0.37214751992203232</v>
      </c>
      <c r="H589" s="8">
        <f t="shared" ca="1" si="71"/>
        <v>11</v>
      </c>
    </row>
    <row r="590" spans="1:8">
      <c r="A590" s="8">
        <v>585</v>
      </c>
      <c r="B590" s="9">
        <f t="shared" ca="1" si="65"/>
        <v>0.38104813021729134</v>
      </c>
      <c r="C590" s="10" t="str">
        <f t="shared" ca="1" si="66"/>
        <v>Navegación</v>
      </c>
      <c r="D590" s="9">
        <f t="shared" ca="1" si="67"/>
        <v>0.77951618237017162</v>
      </c>
      <c r="E590" s="10">
        <f t="shared" ca="1" si="68"/>
        <v>4</v>
      </c>
      <c r="F590" s="10">
        <f t="shared" ca="1" si="69"/>
        <v>1</v>
      </c>
      <c r="G590" s="9">
        <f t="shared" ca="1" si="70"/>
        <v>0.56430233919595252</v>
      </c>
      <c r="H590" s="10">
        <f t="shared" ca="1" si="71"/>
        <v>12</v>
      </c>
    </row>
    <row r="591" spans="1:8">
      <c r="A591" s="8">
        <v>586</v>
      </c>
      <c r="B591" s="14">
        <f t="shared" ca="1" si="65"/>
        <v>0.45893470504810807</v>
      </c>
      <c r="C591" s="8" t="str">
        <f t="shared" ca="1" si="66"/>
        <v>Navegación</v>
      </c>
      <c r="D591" s="14">
        <f t="shared" ca="1" si="67"/>
        <v>0.22918219800149764</v>
      </c>
      <c r="E591" s="8">
        <f t="shared" ca="1" si="68"/>
        <v>2</v>
      </c>
      <c r="F591" s="8">
        <f t="shared" ca="1" si="69"/>
        <v>2</v>
      </c>
      <c r="G591" s="14">
        <f t="shared" ca="1" si="70"/>
        <v>0.70142662580821702</v>
      </c>
      <c r="H591" s="8">
        <f t="shared" ca="1" si="71"/>
        <v>14</v>
      </c>
    </row>
    <row r="592" spans="1:8">
      <c r="A592" s="8">
        <v>587</v>
      </c>
      <c r="B592" s="9">
        <f t="shared" ca="1" si="65"/>
        <v>0.51714143229545428</v>
      </c>
      <c r="C592" s="10" t="str">
        <f t="shared" ca="1" si="66"/>
        <v>Navegación</v>
      </c>
      <c r="D592" s="9">
        <f t="shared" ca="1" si="67"/>
        <v>0.46697721242921686</v>
      </c>
      <c r="E592" s="10">
        <f t="shared" ca="1" si="68"/>
        <v>3</v>
      </c>
      <c r="F592" s="10">
        <f t="shared" ca="1" si="69"/>
        <v>2</v>
      </c>
      <c r="G592" s="9">
        <f t="shared" ca="1" si="70"/>
        <v>0.90480230185979793</v>
      </c>
      <c r="H592" s="10">
        <f t="shared" ca="1" si="71"/>
        <v>17</v>
      </c>
    </row>
    <row r="593" spans="1:8">
      <c r="A593" s="8">
        <v>588</v>
      </c>
      <c r="B593" s="14">
        <f t="shared" ca="1" si="65"/>
        <v>0.27733485567794336</v>
      </c>
      <c r="C593" s="8" t="str">
        <f t="shared" ca="1" si="66"/>
        <v>Navegación</v>
      </c>
      <c r="D593" s="14">
        <f t="shared" ca="1" si="67"/>
        <v>0.18464708019823439</v>
      </c>
      <c r="E593" s="8">
        <f t="shared" ca="1" si="68"/>
        <v>1</v>
      </c>
      <c r="F593" s="8">
        <f t="shared" ca="1" si="69"/>
        <v>5</v>
      </c>
      <c r="G593" s="14">
        <f t="shared" ca="1" si="70"/>
        <v>0.42025451272225012</v>
      </c>
      <c r="H593" s="8">
        <f t="shared" ca="1" si="71"/>
        <v>11</v>
      </c>
    </row>
    <row r="594" spans="1:8">
      <c r="A594" s="8">
        <v>589</v>
      </c>
      <c r="B594" s="9">
        <f t="shared" ca="1" si="65"/>
        <v>0.48904223228651966</v>
      </c>
      <c r="C594" s="10" t="str">
        <f t="shared" ca="1" si="66"/>
        <v>Navegación</v>
      </c>
      <c r="D594" s="9">
        <f t="shared" ca="1" si="67"/>
        <v>1.4515407472329156E-2</v>
      </c>
      <c r="E594" s="10">
        <f t="shared" ca="1" si="68"/>
        <v>1</v>
      </c>
      <c r="F594" s="10">
        <f t="shared" ca="1" si="69"/>
        <v>4</v>
      </c>
      <c r="G594" s="9">
        <f t="shared" ca="1" si="70"/>
        <v>0.23778290852004214</v>
      </c>
      <c r="H594" s="10">
        <f t="shared" ca="1" si="71"/>
        <v>9</v>
      </c>
    </row>
    <row r="595" spans="1:8">
      <c r="A595" s="8">
        <v>590</v>
      </c>
      <c r="B595" s="14">
        <f t="shared" ca="1" si="65"/>
        <v>0.19410341173092549</v>
      </c>
      <c r="C595" s="8" t="str">
        <f t="shared" ca="1" si="66"/>
        <v>Navegación</v>
      </c>
      <c r="D595" s="14">
        <f t="shared" ca="1" si="67"/>
        <v>0.85889544653886418</v>
      </c>
      <c r="E595" s="8">
        <f t="shared" ca="1" si="68"/>
        <v>5</v>
      </c>
      <c r="F595" s="8">
        <f t="shared" ca="1" si="69"/>
        <v>2</v>
      </c>
      <c r="G595" s="14">
        <f t="shared" ca="1" si="70"/>
        <v>0.38091459022067431</v>
      </c>
      <c r="H595" s="8">
        <f t="shared" ca="1" si="71"/>
        <v>11</v>
      </c>
    </row>
    <row r="596" spans="1:8">
      <c r="A596" s="8">
        <v>591</v>
      </c>
      <c r="B596" s="9">
        <f t="shared" ca="1" si="65"/>
        <v>0.13792204215310488</v>
      </c>
      <c r="C596" s="10" t="str">
        <f t="shared" ca="1" si="66"/>
        <v>Navegación</v>
      </c>
      <c r="D596" s="9">
        <f t="shared" ca="1" si="67"/>
        <v>9.0359284916091354E-2</v>
      </c>
      <c r="E596" s="10">
        <f t="shared" ca="1" si="68"/>
        <v>1</v>
      </c>
      <c r="F596" s="10">
        <f t="shared" ca="1" si="69"/>
        <v>4</v>
      </c>
      <c r="G596" s="9">
        <f t="shared" ca="1" si="70"/>
        <v>0.99114662654721875</v>
      </c>
      <c r="H596" s="10">
        <f t="shared" ca="1" si="71"/>
        <v>21</v>
      </c>
    </row>
    <row r="597" spans="1:8">
      <c r="A597" s="8">
        <v>592</v>
      </c>
      <c r="B597" s="14">
        <f t="shared" ca="1" si="65"/>
        <v>0.88876907891786361</v>
      </c>
      <c r="C597" s="8" t="str">
        <f t="shared" ca="1" si="66"/>
        <v>Checkout</v>
      </c>
      <c r="D597" s="14">
        <f t="shared" ca="1" si="67"/>
        <v>0.58590552888680458</v>
      </c>
      <c r="E597" s="8">
        <f t="shared" ca="1" si="68"/>
        <v>3</v>
      </c>
      <c r="F597" s="8">
        <f t="shared" ca="1" si="69"/>
        <v>5</v>
      </c>
      <c r="G597" s="14">
        <f t="shared" ca="1" si="70"/>
        <v>0.25061639667058555</v>
      </c>
      <c r="H597" s="8">
        <f t="shared" ca="1" si="71"/>
        <v>10</v>
      </c>
    </row>
    <row r="598" spans="1:8">
      <c r="A598" s="8">
        <v>593</v>
      </c>
      <c r="B598" s="9">
        <f t="shared" ca="1" si="65"/>
        <v>0.68965784751857173</v>
      </c>
      <c r="C598" s="10" t="str">
        <f t="shared" ca="1" si="66"/>
        <v>Carrito</v>
      </c>
      <c r="D598" s="9">
        <f t="shared" ca="1" si="67"/>
        <v>0.94765821598911582</v>
      </c>
      <c r="E598" s="10">
        <f t="shared" ca="1" si="68"/>
        <v>5</v>
      </c>
      <c r="F598" s="10">
        <f t="shared" ca="1" si="69"/>
        <v>3</v>
      </c>
      <c r="G598" s="9">
        <f t="shared" ca="1" si="70"/>
        <v>0.49051719125067172</v>
      </c>
      <c r="H598" s="10">
        <f t="shared" ca="1" si="71"/>
        <v>12</v>
      </c>
    </row>
    <row r="599" spans="1:8">
      <c r="A599" s="8">
        <v>594</v>
      </c>
      <c r="B599" s="14">
        <f t="shared" ca="1" si="65"/>
        <v>0.76804996344197562</v>
      </c>
      <c r="C599" s="8" t="str">
        <f t="shared" ca="1" si="66"/>
        <v>Carrito</v>
      </c>
      <c r="D599" s="14">
        <f t="shared" ca="1" si="67"/>
        <v>0.45521433423795055</v>
      </c>
      <c r="E599" s="8">
        <f t="shared" ca="1" si="68"/>
        <v>3</v>
      </c>
      <c r="F599" s="8">
        <f t="shared" ca="1" si="69"/>
        <v>2</v>
      </c>
      <c r="G599" s="14">
        <f t="shared" ca="1" si="70"/>
        <v>0.39600490918283948</v>
      </c>
      <c r="H599" s="8">
        <f t="shared" ca="1" si="71"/>
        <v>11</v>
      </c>
    </row>
    <row r="600" spans="1:8">
      <c r="A600" s="8">
        <v>595</v>
      </c>
      <c r="B600" s="9">
        <f t="shared" ca="1" si="65"/>
        <v>0.79933738665593479</v>
      </c>
      <c r="C600" s="10" t="str">
        <f t="shared" ca="1" si="66"/>
        <v>Carrito</v>
      </c>
      <c r="D600" s="9">
        <f t="shared" ca="1" si="67"/>
        <v>0.7754155240289613</v>
      </c>
      <c r="E600" s="10">
        <f t="shared" ca="1" si="68"/>
        <v>4</v>
      </c>
      <c r="F600" s="10">
        <f t="shared" ca="1" si="69"/>
        <v>3</v>
      </c>
      <c r="G600" s="9">
        <f t="shared" ca="1" si="70"/>
        <v>0.92349465943270559</v>
      </c>
      <c r="H600" s="10">
        <f t="shared" ca="1" si="71"/>
        <v>17</v>
      </c>
    </row>
    <row r="601" spans="1:8">
      <c r="A601" s="8">
        <v>596</v>
      </c>
      <c r="B601" s="14">
        <f t="shared" ca="1" si="65"/>
        <v>0.6976480966673464</v>
      </c>
      <c r="C601" s="8" t="str">
        <f t="shared" ca="1" si="66"/>
        <v>Carrito</v>
      </c>
      <c r="D601" s="14">
        <f t="shared" ca="1" si="67"/>
        <v>0.8782439794273128</v>
      </c>
      <c r="E601" s="8">
        <f t="shared" ca="1" si="68"/>
        <v>5</v>
      </c>
      <c r="F601" s="8">
        <f t="shared" ca="1" si="69"/>
        <v>5</v>
      </c>
      <c r="G601" s="14">
        <f t="shared" ca="1" si="70"/>
        <v>0.78226710969329705</v>
      </c>
      <c r="H601" s="8">
        <f t="shared" ca="1" si="71"/>
        <v>15</v>
      </c>
    </row>
    <row r="602" spans="1:8">
      <c r="A602" s="8">
        <v>597</v>
      </c>
      <c r="B602" s="9">
        <f t="shared" ca="1" si="65"/>
        <v>0.99869120489750496</v>
      </c>
      <c r="C602" s="10" t="str">
        <f t="shared" ca="1" si="66"/>
        <v>Checkout</v>
      </c>
      <c r="D602" s="9">
        <f t="shared" ca="1" si="67"/>
        <v>0.57183182784114317</v>
      </c>
      <c r="E602" s="10">
        <f t="shared" ca="1" si="68"/>
        <v>3</v>
      </c>
      <c r="F602" s="10">
        <f t="shared" ca="1" si="69"/>
        <v>2</v>
      </c>
      <c r="G602" s="9">
        <f t="shared" ca="1" si="70"/>
        <v>0.93500149886377781</v>
      </c>
      <c r="H602" s="10">
        <f t="shared" ca="1" si="71"/>
        <v>17</v>
      </c>
    </row>
    <row r="603" spans="1:8">
      <c r="A603" s="8">
        <v>598</v>
      </c>
      <c r="B603" s="14">
        <f t="shared" ca="1" si="65"/>
        <v>0.87441224352610203</v>
      </c>
      <c r="C603" s="8" t="str">
        <f t="shared" ca="1" si="66"/>
        <v>Checkout</v>
      </c>
      <c r="D603" s="14">
        <f t="shared" ca="1" si="67"/>
        <v>4.7238227503390906E-2</v>
      </c>
      <c r="E603" s="8">
        <f t="shared" ca="1" si="68"/>
        <v>1</v>
      </c>
      <c r="F603" s="8">
        <f t="shared" ca="1" si="69"/>
        <v>5</v>
      </c>
      <c r="G603" s="14">
        <f t="shared" ca="1" si="70"/>
        <v>4.8752233078761864E-2</v>
      </c>
      <c r="H603" s="8">
        <f t="shared" ca="1" si="71"/>
        <v>7</v>
      </c>
    </row>
    <row r="604" spans="1:8">
      <c r="A604" s="8">
        <v>599</v>
      </c>
      <c r="B604" s="9">
        <f t="shared" ca="1" si="65"/>
        <v>6.8786799425917478E-2</v>
      </c>
      <c r="C604" s="10" t="str">
        <f t="shared" ca="1" si="66"/>
        <v>Navegación</v>
      </c>
      <c r="D604" s="9">
        <f t="shared" ca="1" si="67"/>
        <v>0.57432345572790133</v>
      </c>
      <c r="E604" s="10">
        <f t="shared" ca="1" si="68"/>
        <v>3</v>
      </c>
      <c r="F604" s="10">
        <f t="shared" ca="1" si="69"/>
        <v>3</v>
      </c>
      <c r="G604" s="9">
        <f t="shared" ca="1" si="70"/>
        <v>0.49421796112301164</v>
      </c>
      <c r="H604" s="10">
        <f t="shared" ca="1" si="71"/>
        <v>12</v>
      </c>
    </row>
    <row r="605" spans="1:8">
      <c r="A605" s="8">
        <v>600</v>
      </c>
      <c r="B605" s="14">
        <f t="shared" ca="1" si="65"/>
        <v>0.72036484564103187</v>
      </c>
      <c r="C605" s="8" t="str">
        <f t="shared" ca="1" si="66"/>
        <v>Carrito</v>
      </c>
      <c r="D605" s="14">
        <f t="shared" ca="1" si="67"/>
        <v>0.20344078810568411</v>
      </c>
      <c r="E605" s="8">
        <f t="shared" ca="1" si="68"/>
        <v>2</v>
      </c>
      <c r="F605" s="8">
        <f t="shared" ca="1" si="69"/>
        <v>3</v>
      </c>
      <c r="G605" s="14">
        <f t="shared" ca="1" si="70"/>
        <v>0.46842459496520739</v>
      </c>
      <c r="H605" s="8">
        <f t="shared" ca="1" si="71"/>
        <v>12</v>
      </c>
    </row>
    <row r="606" spans="1:8">
      <c r="A606" s="8">
        <v>601</v>
      </c>
      <c r="B606" s="9">
        <f t="shared" ca="1" si="65"/>
        <v>0.91048625984374087</v>
      </c>
      <c r="C606" s="10" t="str">
        <f t="shared" ca="1" si="66"/>
        <v>Checkout</v>
      </c>
      <c r="D606" s="9">
        <f t="shared" ca="1" si="67"/>
        <v>0.61006159451487374</v>
      </c>
      <c r="E606" s="10">
        <f t="shared" ca="1" si="68"/>
        <v>4</v>
      </c>
      <c r="F606" s="10">
        <f t="shared" ca="1" si="69"/>
        <v>2</v>
      </c>
      <c r="G606" s="9">
        <f t="shared" ca="1" si="70"/>
        <v>1.3787345724986411E-2</v>
      </c>
      <c r="H606" s="10">
        <f t="shared" ca="1" si="71"/>
        <v>5</v>
      </c>
    </row>
    <row r="607" spans="1:8">
      <c r="A607" s="8">
        <v>602</v>
      </c>
      <c r="B607" s="14">
        <f t="shared" ca="1" si="65"/>
        <v>0.18628835528943155</v>
      </c>
      <c r="C607" s="8" t="str">
        <f t="shared" ca="1" si="66"/>
        <v>Navegación</v>
      </c>
      <c r="D607" s="14">
        <f t="shared" ca="1" si="67"/>
        <v>0.47627959305869461</v>
      </c>
      <c r="E607" s="8">
        <f t="shared" ca="1" si="68"/>
        <v>3</v>
      </c>
      <c r="F607" s="8">
        <f t="shared" ca="1" si="69"/>
        <v>5</v>
      </c>
      <c r="G607" s="14">
        <f t="shared" ca="1" si="70"/>
        <v>0.25023325282728759</v>
      </c>
      <c r="H607" s="8">
        <f t="shared" ca="1" si="71"/>
        <v>10</v>
      </c>
    </row>
    <row r="608" spans="1:8">
      <c r="A608" s="8">
        <v>603</v>
      </c>
      <c r="B608" s="9">
        <f t="shared" ca="1" si="65"/>
        <v>0.9861109598048351</v>
      </c>
      <c r="C608" s="10" t="str">
        <f t="shared" ca="1" si="66"/>
        <v>Checkout</v>
      </c>
      <c r="D608" s="9">
        <f t="shared" ca="1" si="67"/>
        <v>0.47216574991978999</v>
      </c>
      <c r="E608" s="10">
        <f t="shared" ca="1" si="68"/>
        <v>3</v>
      </c>
      <c r="F608" s="10">
        <f t="shared" ca="1" si="69"/>
        <v>2</v>
      </c>
      <c r="G608" s="9">
        <f t="shared" ca="1" si="70"/>
        <v>0.16717834654088792</v>
      </c>
      <c r="H608" s="10">
        <f t="shared" ca="1" si="71"/>
        <v>9</v>
      </c>
    </row>
    <row r="609" spans="1:8">
      <c r="A609" s="8">
        <v>604</v>
      </c>
      <c r="B609" s="14">
        <f t="shared" ca="1" si="65"/>
        <v>0.51439347393368695</v>
      </c>
      <c r="C609" s="8" t="str">
        <f t="shared" ca="1" si="66"/>
        <v>Navegación</v>
      </c>
      <c r="D609" s="14">
        <f t="shared" ca="1" si="67"/>
        <v>0.86331772260586848</v>
      </c>
      <c r="E609" s="8">
        <f t="shared" ca="1" si="68"/>
        <v>5</v>
      </c>
      <c r="F609" s="8">
        <f t="shared" ca="1" si="69"/>
        <v>1</v>
      </c>
      <c r="G609" s="14">
        <f t="shared" ca="1" si="70"/>
        <v>0.20576895656062821</v>
      </c>
      <c r="H609" s="8">
        <f t="shared" ca="1" si="71"/>
        <v>9</v>
      </c>
    </row>
    <row r="610" spans="1:8">
      <c r="A610" s="8">
        <v>605</v>
      </c>
      <c r="B610" s="9">
        <f t="shared" ca="1" si="65"/>
        <v>0.40612267550930214</v>
      </c>
      <c r="C610" s="10" t="str">
        <f t="shared" ca="1" si="66"/>
        <v>Navegación</v>
      </c>
      <c r="D610" s="9">
        <f t="shared" ca="1" si="67"/>
        <v>0.80232370075628479</v>
      </c>
      <c r="E610" s="10">
        <f t="shared" ca="1" si="68"/>
        <v>5</v>
      </c>
      <c r="F610" s="10">
        <f t="shared" ca="1" si="69"/>
        <v>3</v>
      </c>
      <c r="G610" s="9">
        <f t="shared" ca="1" si="70"/>
        <v>0.33933826530226363</v>
      </c>
      <c r="H610" s="10">
        <f t="shared" ca="1" si="71"/>
        <v>10</v>
      </c>
    </row>
    <row r="611" spans="1:8">
      <c r="A611" s="8">
        <v>606</v>
      </c>
      <c r="B611" s="14">
        <f t="shared" ca="1" si="65"/>
        <v>3.9952811193632254E-2</v>
      </c>
      <c r="C611" s="8" t="str">
        <f t="shared" ca="1" si="66"/>
        <v>Navegación</v>
      </c>
      <c r="D611" s="14">
        <f t="shared" ca="1" si="67"/>
        <v>0.29578073434461027</v>
      </c>
      <c r="E611" s="8">
        <f t="shared" ca="1" si="68"/>
        <v>2</v>
      </c>
      <c r="F611" s="8">
        <f t="shared" ca="1" si="69"/>
        <v>2</v>
      </c>
      <c r="G611" s="14">
        <f t="shared" ca="1" si="70"/>
        <v>0.92944761664680997</v>
      </c>
      <c r="H611" s="8">
        <f t="shared" ca="1" si="71"/>
        <v>17</v>
      </c>
    </row>
    <row r="612" spans="1:8">
      <c r="A612" s="8">
        <v>607</v>
      </c>
      <c r="B612" s="9">
        <f t="shared" ca="1" si="65"/>
        <v>0.43999655785135638</v>
      </c>
      <c r="C612" s="10" t="str">
        <f t="shared" ca="1" si="66"/>
        <v>Navegación</v>
      </c>
      <c r="D612" s="9">
        <f t="shared" ca="1" si="67"/>
        <v>0.57728260153198285</v>
      </c>
      <c r="E612" s="10">
        <f t="shared" ca="1" si="68"/>
        <v>3</v>
      </c>
      <c r="F612" s="10">
        <f t="shared" ca="1" si="69"/>
        <v>5</v>
      </c>
      <c r="G612" s="9">
        <f t="shared" ca="1" si="70"/>
        <v>0.41129803971504197</v>
      </c>
      <c r="H612" s="10">
        <f t="shared" ca="1" si="71"/>
        <v>11</v>
      </c>
    </row>
    <row r="613" spans="1:8">
      <c r="A613" s="8">
        <v>608</v>
      </c>
      <c r="B613" s="14">
        <f t="shared" ca="1" si="65"/>
        <v>0.6617411810444106</v>
      </c>
      <c r="C613" s="8" t="str">
        <f t="shared" ca="1" si="66"/>
        <v>Carrito</v>
      </c>
      <c r="D613" s="14">
        <f t="shared" ca="1" si="67"/>
        <v>0.50870322122419431</v>
      </c>
      <c r="E613" s="8">
        <f t="shared" ca="1" si="68"/>
        <v>3</v>
      </c>
      <c r="F613" s="8">
        <f t="shared" ca="1" si="69"/>
        <v>2</v>
      </c>
      <c r="G613" s="14">
        <f t="shared" ca="1" si="70"/>
        <v>0.76203873497685959</v>
      </c>
      <c r="H613" s="8">
        <f t="shared" ca="1" si="71"/>
        <v>14</v>
      </c>
    </row>
    <row r="614" spans="1:8">
      <c r="A614" s="8">
        <v>609</v>
      </c>
      <c r="B614" s="9">
        <f t="shared" ca="1" si="65"/>
        <v>0.64956016880925205</v>
      </c>
      <c r="C614" s="10" t="str">
        <f t="shared" ca="1" si="66"/>
        <v>Carrito</v>
      </c>
      <c r="D614" s="9">
        <f t="shared" ca="1" si="67"/>
        <v>0.25563916206614912</v>
      </c>
      <c r="E614" s="10">
        <f t="shared" ca="1" si="68"/>
        <v>2</v>
      </c>
      <c r="F614" s="10">
        <f t="shared" ca="1" si="69"/>
        <v>2</v>
      </c>
      <c r="G614" s="9">
        <f t="shared" ca="1" si="70"/>
        <v>0.14664884624587271</v>
      </c>
      <c r="H614" s="10">
        <f t="shared" ca="1" si="71"/>
        <v>8</v>
      </c>
    </row>
    <row r="615" spans="1:8">
      <c r="A615" s="8">
        <v>610</v>
      </c>
      <c r="B615" s="14">
        <f t="shared" ca="1" si="65"/>
        <v>0.28114884565742193</v>
      </c>
      <c r="C615" s="8" t="str">
        <f t="shared" ca="1" si="66"/>
        <v>Navegación</v>
      </c>
      <c r="D615" s="14">
        <f t="shared" ca="1" si="67"/>
        <v>0.49831196386859355</v>
      </c>
      <c r="E615" s="8">
        <f t="shared" ca="1" si="68"/>
        <v>3</v>
      </c>
      <c r="F615" s="8">
        <f t="shared" ca="1" si="69"/>
        <v>5</v>
      </c>
      <c r="G615" s="14">
        <f t="shared" ca="1" si="70"/>
        <v>0.17638797604772916</v>
      </c>
      <c r="H615" s="8">
        <f t="shared" ca="1" si="71"/>
        <v>9</v>
      </c>
    </row>
    <row r="616" spans="1:8">
      <c r="A616" s="8">
        <v>611</v>
      </c>
      <c r="B616" s="9">
        <f t="shared" ca="1" si="65"/>
        <v>0.70591829725902722</v>
      </c>
      <c r="C616" s="10" t="str">
        <f t="shared" ca="1" si="66"/>
        <v>Carrito</v>
      </c>
      <c r="D616" s="9">
        <f t="shared" ca="1" si="67"/>
        <v>0.24678067711587137</v>
      </c>
      <c r="E616" s="10">
        <f t="shared" ca="1" si="68"/>
        <v>2</v>
      </c>
      <c r="F616" s="10">
        <f t="shared" ca="1" si="69"/>
        <v>4</v>
      </c>
      <c r="G616" s="9">
        <f t="shared" ca="1" si="70"/>
        <v>0.45946990779741104</v>
      </c>
      <c r="H616" s="10">
        <f t="shared" ca="1" si="71"/>
        <v>11</v>
      </c>
    </row>
    <row r="617" spans="1:8">
      <c r="A617" s="8">
        <v>612</v>
      </c>
      <c r="B617" s="14">
        <f t="shared" ca="1" si="65"/>
        <v>0.93617831610669511</v>
      </c>
      <c r="C617" s="8" t="str">
        <f t="shared" ca="1" si="66"/>
        <v>Checkout</v>
      </c>
      <c r="D617" s="14">
        <f t="shared" ca="1" si="67"/>
        <v>0.63612817178405412</v>
      </c>
      <c r="E617" s="8">
        <f t="shared" ca="1" si="68"/>
        <v>4</v>
      </c>
      <c r="F617" s="8">
        <f t="shared" ca="1" si="69"/>
        <v>4</v>
      </c>
      <c r="G617" s="14">
        <f t="shared" ca="1" si="70"/>
        <v>0.14034439424108081</v>
      </c>
      <c r="H617" s="8">
        <f t="shared" ca="1" si="71"/>
        <v>8</v>
      </c>
    </row>
    <row r="618" spans="1:8">
      <c r="A618" s="8">
        <v>613</v>
      </c>
      <c r="B618" s="9">
        <f t="shared" ca="1" si="65"/>
        <v>0.51814155603584788</v>
      </c>
      <c r="C618" s="10" t="str">
        <f t="shared" ca="1" si="66"/>
        <v>Navegación</v>
      </c>
      <c r="D618" s="9">
        <f t="shared" ca="1" si="67"/>
        <v>0.61277099501663457</v>
      </c>
      <c r="E618" s="10">
        <f t="shared" ca="1" si="68"/>
        <v>4</v>
      </c>
      <c r="F618" s="10">
        <f t="shared" ca="1" si="69"/>
        <v>4</v>
      </c>
      <c r="G618" s="9">
        <f t="shared" ca="1" si="70"/>
        <v>0.51614337779607122</v>
      </c>
      <c r="H618" s="10">
        <f t="shared" ca="1" si="71"/>
        <v>12</v>
      </c>
    </row>
    <row r="619" spans="1:8">
      <c r="A619" s="8">
        <v>614</v>
      </c>
      <c r="B619" s="14">
        <f t="shared" ca="1" si="65"/>
        <v>0.68720248769010017</v>
      </c>
      <c r="C619" s="8" t="str">
        <f t="shared" ca="1" si="66"/>
        <v>Carrito</v>
      </c>
      <c r="D619" s="14">
        <f t="shared" ca="1" si="67"/>
        <v>0.59489182015226949</v>
      </c>
      <c r="E619" s="8">
        <f t="shared" ca="1" si="68"/>
        <v>3</v>
      </c>
      <c r="F619" s="8">
        <f t="shared" ca="1" si="69"/>
        <v>1</v>
      </c>
      <c r="G619" s="14">
        <f t="shared" ca="1" si="70"/>
        <v>0.54180187403739533</v>
      </c>
      <c r="H619" s="8">
        <f t="shared" ca="1" si="71"/>
        <v>12</v>
      </c>
    </row>
    <row r="620" spans="1:8">
      <c r="A620" s="8">
        <v>615</v>
      </c>
      <c r="B620" s="9">
        <f t="shared" ca="1" si="65"/>
        <v>3.1489454598241817E-2</v>
      </c>
      <c r="C620" s="10" t="str">
        <f t="shared" ca="1" si="66"/>
        <v>Navegación</v>
      </c>
      <c r="D620" s="9">
        <f t="shared" ca="1" si="67"/>
        <v>9.6841887657265202E-3</v>
      </c>
      <c r="E620" s="10">
        <f t="shared" ca="1" si="68"/>
        <v>1</v>
      </c>
      <c r="F620" s="10">
        <f t="shared" ca="1" si="69"/>
        <v>5</v>
      </c>
      <c r="G620" s="9">
        <f t="shared" ca="1" si="70"/>
        <v>0.97149670859957649</v>
      </c>
      <c r="H620" s="10">
        <f t="shared" ca="1" si="71"/>
        <v>19</v>
      </c>
    </row>
    <row r="621" spans="1:8">
      <c r="A621" s="8">
        <v>616</v>
      </c>
      <c r="B621" s="14">
        <f t="shared" ca="1" si="65"/>
        <v>0.34782669389236065</v>
      </c>
      <c r="C621" s="8" t="str">
        <f t="shared" ca="1" si="66"/>
        <v>Navegación</v>
      </c>
      <c r="D621" s="14">
        <f t="shared" ca="1" si="67"/>
        <v>0.97535394565498812</v>
      </c>
      <c r="E621" s="8">
        <f t="shared" ca="1" si="68"/>
        <v>5</v>
      </c>
      <c r="F621" s="8">
        <f t="shared" ca="1" si="69"/>
        <v>2</v>
      </c>
      <c r="G621" s="14">
        <f t="shared" ca="1" si="70"/>
        <v>0.68600079252507984</v>
      </c>
      <c r="H621" s="8">
        <f t="shared" ca="1" si="71"/>
        <v>14</v>
      </c>
    </row>
    <row r="622" spans="1:8">
      <c r="A622" s="8">
        <v>617</v>
      </c>
      <c r="B622" s="9">
        <f t="shared" ca="1" si="65"/>
        <v>0.93539650250652251</v>
      </c>
      <c r="C622" s="10" t="str">
        <f t="shared" ca="1" si="66"/>
        <v>Checkout</v>
      </c>
      <c r="D622" s="9">
        <f t="shared" ca="1" si="67"/>
        <v>0.21903610119439809</v>
      </c>
      <c r="E622" s="10">
        <f t="shared" ca="1" si="68"/>
        <v>2</v>
      </c>
      <c r="F622" s="10">
        <f t="shared" ca="1" si="69"/>
        <v>1</v>
      </c>
      <c r="G622" s="9">
        <f t="shared" ca="1" si="70"/>
        <v>6.7392246116239507E-2</v>
      </c>
      <c r="H622" s="10">
        <f t="shared" ca="1" si="71"/>
        <v>7</v>
      </c>
    </row>
    <row r="623" spans="1:8">
      <c r="A623" s="8">
        <v>618</v>
      </c>
      <c r="B623" s="14">
        <f t="shared" ca="1" si="65"/>
        <v>0.57901740256847367</v>
      </c>
      <c r="C623" s="8" t="str">
        <f t="shared" ca="1" si="66"/>
        <v>Carrito</v>
      </c>
      <c r="D623" s="14">
        <f t="shared" ca="1" si="67"/>
        <v>0.88676019453067401</v>
      </c>
      <c r="E623" s="8">
        <f t="shared" ca="1" si="68"/>
        <v>5</v>
      </c>
      <c r="F623" s="8">
        <f t="shared" ca="1" si="69"/>
        <v>2</v>
      </c>
      <c r="G623" s="14">
        <f t="shared" ca="1" si="70"/>
        <v>0.15971036023611274</v>
      </c>
      <c r="H623" s="8">
        <f t="shared" ca="1" si="71"/>
        <v>9</v>
      </c>
    </row>
    <row r="624" spans="1:8">
      <c r="A624" s="8">
        <v>619</v>
      </c>
      <c r="B624" s="9">
        <f t="shared" ca="1" si="65"/>
        <v>0.58096246657598949</v>
      </c>
      <c r="C624" s="10" t="str">
        <f t="shared" ca="1" si="66"/>
        <v>Carrito</v>
      </c>
      <c r="D624" s="9">
        <f t="shared" ca="1" si="67"/>
        <v>0.9943083925305175</v>
      </c>
      <c r="E624" s="10">
        <f t="shared" ca="1" si="68"/>
        <v>5</v>
      </c>
      <c r="F624" s="10">
        <f t="shared" ca="1" si="69"/>
        <v>1</v>
      </c>
      <c r="G624" s="9">
        <f t="shared" ca="1" si="70"/>
        <v>0.48708027539179866</v>
      </c>
      <c r="H624" s="10">
        <f t="shared" ca="1" si="71"/>
        <v>12</v>
      </c>
    </row>
    <row r="625" spans="1:8">
      <c r="A625" s="8">
        <v>620</v>
      </c>
      <c r="B625" s="14">
        <f t="shared" ca="1" si="65"/>
        <v>0.11980053280241043</v>
      </c>
      <c r="C625" s="8" t="str">
        <f t="shared" ca="1" si="66"/>
        <v>Navegación</v>
      </c>
      <c r="D625" s="14">
        <f t="shared" ca="1" si="67"/>
        <v>0.51428924420428346</v>
      </c>
      <c r="E625" s="8">
        <f t="shared" ca="1" si="68"/>
        <v>3</v>
      </c>
      <c r="F625" s="8">
        <f t="shared" ca="1" si="69"/>
        <v>4</v>
      </c>
      <c r="G625" s="14">
        <f t="shared" ca="1" si="70"/>
        <v>0.96220672639552662</v>
      </c>
      <c r="H625" s="8">
        <f t="shared" ca="1" si="71"/>
        <v>18</v>
      </c>
    </row>
    <row r="626" spans="1:8">
      <c r="A626" s="8">
        <v>621</v>
      </c>
      <c r="B626" s="9">
        <f t="shared" ca="1" si="65"/>
        <v>0.73145196815219249</v>
      </c>
      <c r="C626" s="10" t="str">
        <f t="shared" ca="1" si="66"/>
        <v>Carrito</v>
      </c>
      <c r="D626" s="9">
        <f t="shared" ca="1" si="67"/>
        <v>0.22841541552113487</v>
      </c>
      <c r="E626" s="10">
        <f t="shared" ca="1" si="68"/>
        <v>2</v>
      </c>
      <c r="F626" s="10">
        <f t="shared" ca="1" si="69"/>
        <v>1</v>
      </c>
      <c r="G626" s="9">
        <f t="shared" ca="1" si="70"/>
        <v>0.60613227755026877</v>
      </c>
      <c r="H626" s="10">
        <f t="shared" ca="1" si="71"/>
        <v>13</v>
      </c>
    </row>
    <row r="627" spans="1:8">
      <c r="A627" s="8">
        <v>622</v>
      </c>
      <c r="B627" s="14">
        <f t="shared" ca="1" si="65"/>
        <v>0.29148003042509329</v>
      </c>
      <c r="C627" s="8" t="str">
        <f t="shared" ca="1" si="66"/>
        <v>Navegación</v>
      </c>
      <c r="D627" s="14">
        <f t="shared" ca="1" si="67"/>
        <v>0.6205969819434235</v>
      </c>
      <c r="E627" s="8">
        <f t="shared" ca="1" si="68"/>
        <v>4</v>
      </c>
      <c r="F627" s="8">
        <f t="shared" ca="1" si="69"/>
        <v>5</v>
      </c>
      <c r="G627" s="14">
        <f t="shared" ca="1" si="70"/>
        <v>0.63367544638490836</v>
      </c>
      <c r="H627" s="8">
        <f t="shared" ca="1" si="71"/>
        <v>13</v>
      </c>
    </row>
    <row r="628" spans="1:8">
      <c r="A628" s="8">
        <v>623</v>
      </c>
      <c r="B628" s="9">
        <f t="shared" ca="1" si="65"/>
        <v>0.37181059581606313</v>
      </c>
      <c r="C628" s="10" t="str">
        <f t="shared" ca="1" si="66"/>
        <v>Navegación</v>
      </c>
      <c r="D628" s="9">
        <f t="shared" ca="1" si="67"/>
        <v>0.73388233597927688</v>
      </c>
      <c r="E628" s="10">
        <f t="shared" ca="1" si="68"/>
        <v>4</v>
      </c>
      <c r="F628" s="10">
        <f t="shared" ca="1" si="69"/>
        <v>4</v>
      </c>
      <c r="G628" s="9">
        <f t="shared" ca="1" si="70"/>
        <v>0.14846320013078818</v>
      </c>
      <c r="H628" s="10">
        <f t="shared" ca="1" si="71"/>
        <v>8</v>
      </c>
    </row>
    <row r="629" spans="1:8">
      <c r="A629" s="8">
        <v>624</v>
      </c>
      <c r="B629" s="14">
        <f t="shared" ca="1" si="65"/>
        <v>0.89318784000020945</v>
      </c>
      <c r="C629" s="8" t="str">
        <f t="shared" ca="1" si="66"/>
        <v>Checkout</v>
      </c>
      <c r="D629" s="14">
        <f t="shared" ca="1" si="67"/>
        <v>0.32330797663567912</v>
      </c>
      <c r="E629" s="8">
        <f t="shared" ca="1" si="68"/>
        <v>2</v>
      </c>
      <c r="F629" s="8">
        <f t="shared" ca="1" si="69"/>
        <v>1</v>
      </c>
      <c r="G629" s="14">
        <f t="shared" ca="1" si="70"/>
        <v>0.15788852386911245</v>
      </c>
      <c r="H629" s="8">
        <f t="shared" ca="1" si="71"/>
        <v>9</v>
      </c>
    </row>
    <row r="630" spans="1:8">
      <c r="A630" s="8">
        <v>625</v>
      </c>
      <c r="B630" s="9">
        <f t="shared" ca="1" si="65"/>
        <v>0.93673861428112215</v>
      </c>
      <c r="C630" s="10" t="str">
        <f t="shared" ca="1" si="66"/>
        <v>Checkout</v>
      </c>
      <c r="D630" s="9">
        <f t="shared" ca="1" si="67"/>
        <v>0.48857076860368764</v>
      </c>
      <c r="E630" s="10">
        <f t="shared" ca="1" si="68"/>
        <v>3</v>
      </c>
      <c r="F630" s="10">
        <f t="shared" ca="1" si="69"/>
        <v>4</v>
      </c>
      <c r="G630" s="9">
        <f t="shared" ca="1" si="70"/>
        <v>0.55655709183059243</v>
      </c>
      <c r="H630" s="10">
        <f t="shared" ca="1" si="71"/>
        <v>12</v>
      </c>
    </row>
    <row r="631" spans="1:8">
      <c r="A631" s="8">
        <v>626</v>
      </c>
      <c r="B631" s="14">
        <f t="shared" ca="1" si="65"/>
        <v>0.88973955638460467</v>
      </c>
      <c r="C631" s="8" t="str">
        <f t="shared" ca="1" si="66"/>
        <v>Checkout</v>
      </c>
      <c r="D631" s="14">
        <f t="shared" ca="1" si="67"/>
        <v>0.71451397484333723</v>
      </c>
      <c r="E631" s="8">
        <f t="shared" ca="1" si="68"/>
        <v>4</v>
      </c>
      <c r="F631" s="8">
        <f t="shared" ca="1" si="69"/>
        <v>3</v>
      </c>
      <c r="G631" s="14">
        <f t="shared" ca="1" si="70"/>
        <v>0.51120637526076496</v>
      </c>
      <c r="H631" s="8">
        <f t="shared" ca="1" si="71"/>
        <v>12</v>
      </c>
    </row>
    <row r="632" spans="1:8">
      <c r="A632" s="8">
        <v>627</v>
      </c>
      <c r="B632" s="9">
        <f t="shared" ca="1" si="65"/>
        <v>0.43434014384174113</v>
      </c>
      <c r="C632" s="10" t="str">
        <f t="shared" ca="1" si="66"/>
        <v>Navegación</v>
      </c>
      <c r="D632" s="9">
        <f t="shared" ca="1" si="67"/>
        <v>0.36173917630731545</v>
      </c>
      <c r="E632" s="10">
        <f t="shared" ca="1" si="68"/>
        <v>2</v>
      </c>
      <c r="F632" s="10">
        <f t="shared" ca="1" si="69"/>
        <v>5</v>
      </c>
      <c r="G632" s="9">
        <f t="shared" ca="1" si="70"/>
        <v>0.70017145560469807</v>
      </c>
      <c r="H632" s="10">
        <f t="shared" ca="1" si="71"/>
        <v>14</v>
      </c>
    </row>
    <row r="633" spans="1:8">
      <c r="A633" s="8">
        <v>628</v>
      </c>
      <c r="B633" s="14">
        <f t="shared" ca="1" si="65"/>
        <v>0.82896496085462479</v>
      </c>
      <c r="C633" s="8" t="str">
        <f t="shared" ca="1" si="66"/>
        <v>Carrito</v>
      </c>
      <c r="D633" s="14">
        <f t="shared" ca="1" si="67"/>
        <v>0.85782788739410865</v>
      </c>
      <c r="E633" s="8">
        <f t="shared" ca="1" si="68"/>
        <v>5</v>
      </c>
      <c r="F633" s="8">
        <f t="shared" ca="1" si="69"/>
        <v>2</v>
      </c>
      <c r="G633" s="14">
        <f t="shared" ca="1" si="70"/>
        <v>0.77008651978459441</v>
      </c>
      <c r="H633" s="8">
        <f t="shared" ca="1" si="71"/>
        <v>14</v>
      </c>
    </row>
    <row r="634" spans="1:8">
      <c r="A634" s="8">
        <v>629</v>
      </c>
      <c r="B634" s="9">
        <f t="shared" ca="1" si="65"/>
        <v>1.1740950553947971E-2</v>
      </c>
      <c r="C634" s="10" t="str">
        <f t="shared" ca="1" si="66"/>
        <v>Navegación</v>
      </c>
      <c r="D634" s="9">
        <f t="shared" ca="1" si="67"/>
        <v>0.38259550713405088</v>
      </c>
      <c r="E634" s="10">
        <f t="shared" ca="1" si="68"/>
        <v>2</v>
      </c>
      <c r="F634" s="10">
        <f t="shared" ca="1" si="69"/>
        <v>4</v>
      </c>
      <c r="G634" s="9">
        <f t="shared" ca="1" si="70"/>
        <v>1.8555225556753596E-2</v>
      </c>
      <c r="H634" s="10">
        <f t="shared" ca="1" si="71"/>
        <v>5</v>
      </c>
    </row>
    <row r="635" spans="1:8">
      <c r="A635" s="8">
        <v>630</v>
      </c>
      <c r="B635" s="14">
        <f t="shared" ca="1" si="65"/>
        <v>0.96712365286276925</v>
      </c>
      <c r="C635" s="8" t="str">
        <f t="shared" ca="1" si="66"/>
        <v>Checkout</v>
      </c>
      <c r="D635" s="14">
        <f t="shared" ca="1" si="67"/>
        <v>0.40375558957898083</v>
      </c>
      <c r="E635" s="8">
        <f t="shared" ca="1" si="68"/>
        <v>3</v>
      </c>
      <c r="F635" s="8">
        <f t="shared" ca="1" si="69"/>
        <v>1</v>
      </c>
      <c r="G635" s="14">
        <f t="shared" ca="1" si="70"/>
        <v>0.71057785425923781</v>
      </c>
      <c r="H635" s="8">
        <f t="shared" ca="1" si="71"/>
        <v>14</v>
      </c>
    </row>
    <row r="636" spans="1:8">
      <c r="A636" s="8">
        <v>631</v>
      </c>
      <c r="B636" s="9">
        <f t="shared" ca="1" si="65"/>
        <v>0.48657258115509971</v>
      </c>
      <c r="C636" s="10" t="str">
        <f t="shared" ca="1" si="66"/>
        <v>Navegación</v>
      </c>
      <c r="D636" s="9">
        <f t="shared" ca="1" si="67"/>
        <v>0.77743951297523561</v>
      </c>
      <c r="E636" s="10">
        <f t="shared" ca="1" si="68"/>
        <v>4</v>
      </c>
      <c r="F636" s="10">
        <f t="shared" ca="1" si="69"/>
        <v>1</v>
      </c>
      <c r="G636" s="9">
        <f t="shared" ca="1" si="70"/>
        <v>0.30181580217415127</v>
      </c>
      <c r="H636" s="10">
        <f t="shared" ca="1" si="71"/>
        <v>10</v>
      </c>
    </row>
    <row r="637" spans="1:8">
      <c r="A637" s="8">
        <v>632</v>
      </c>
      <c r="B637" s="14">
        <f t="shared" ca="1" si="65"/>
        <v>9.9507783605170097E-2</v>
      </c>
      <c r="C637" s="8" t="str">
        <f t="shared" ca="1" si="66"/>
        <v>Navegación</v>
      </c>
      <c r="D637" s="14">
        <f t="shared" ca="1" si="67"/>
        <v>0.12512471878541798</v>
      </c>
      <c r="E637" s="8">
        <f t="shared" ca="1" si="68"/>
        <v>1</v>
      </c>
      <c r="F637" s="8">
        <f t="shared" ca="1" si="69"/>
        <v>2</v>
      </c>
      <c r="G637" s="14">
        <f t="shared" ca="1" si="70"/>
        <v>0.65678127340731374</v>
      </c>
      <c r="H637" s="8">
        <f t="shared" ca="1" si="71"/>
        <v>13</v>
      </c>
    </row>
    <row r="638" spans="1:8">
      <c r="A638" s="8">
        <v>633</v>
      </c>
      <c r="B638" s="9">
        <f t="shared" ca="1" si="65"/>
        <v>0.64333781557672076</v>
      </c>
      <c r="C638" s="10" t="str">
        <f t="shared" ca="1" si="66"/>
        <v>Carrito</v>
      </c>
      <c r="D638" s="9">
        <f t="shared" ca="1" si="67"/>
        <v>0.67355849988504446</v>
      </c>
      <c r="E638" s="10">
        <f t="shared" ca="1" si="68"/>
        <v>4</v>
      </c>
      <c r="F638" s="10">
        <f t="shared" ca="1" si="69"/>
        <v>5</v>
      </c>
      <c r="G638" s="9">
        <f t="shared" ca="1" si="70"/>
        <v>0.56777102927635259</v>
      </c>
      <c r="H638" s="10">
        <f t="shared" ca="1" si="71"/>
        <v>12</v>
      </c>
    </row>
    <row r="639" spans="1:8">
      <c r="A639" s="8">
        <v>634</v>
      </c>
      <c r="B639" s="14">
        <f t="shared" ca="1" si="65"/>
        <v>0.30225748190889834</v>
      </c>
      <c r="C639" s="8" t="str">
        <f t="shared" ca="1" si="66"/>
        <v>Navegación</v>
      </c>
      <c r="D639" s="14">
        <f t="shared" ca="1" si="67"/>
        <v>0.88289701546023669</v>
      </c>
      <c r="E639" s="8">
        <f t="shared" ca="1" si="68"/>
        <v>5</v>
      </c>
      <c r="F639" s="8">
        <f t="shared" ca="1" si="69"/>
        <v>3</v>
      </c>
      <c r="G639" s="14">
        <f t="shared" ca="1" si="70"/>
        <v>0.79155500870809548</v>
      </c>
      <c r="H639" s="8">
        <f t="shared" ca="1" si="71"/>
        <v>15</v>
      </c>
    </row>
    <row r="640" spans="1:8">
      <c r="A640" s="8">
        <v>635</v>
      </c>
      <c r="B640" s="9">
        <f t="shared" ca="1" si="65"/>
        <v>0.85481356783640283</v>
      </c>
      <c r="C640" s="10" t="str">
        <f t="shared" ca="1" si="66"/>
        <v>Checkout</v>
      </c>
      <c r="D640" s="9">
        <f t="shared" ca="1" si="67"/>
        <v>0.85008237367024919</v>
      </c>
      <c r="E640" s="10">
        <f t="shared" ca="1" si="68"/>
        <v>5</v>
      </c>
      <c r="F640" s="10">
        <f t="shared" ca="1" si="69"/>
        <v>3</v>
      </c>
      <c r="G640" s="9">
        <f t="shared" ca="1" si="70"/>
        <v>0.62570616977815718</v>
      </c>
      <c r="H640" s="10">
        <f t="shared" ca="1" si="71"/>
        <v>13</v>
      </c>
    </row>
    <row r="641" spans="1:8">
      <c r="A641" s="8">
        <v>636</v>
      </c>
      <c r="B641" s="14">
        <f t="shared" ca="1" si="65"/>
        <v>0.18025539552683112</v>
      </c>
      <c r="C641" s="8" t="str">
        <f t="shared" ca="1" si="66"/>
        <v>Navegación</v>
      </c>
      <c r="D641" s="14">
        <f t="shared" ca="1" si="67"/>
        <v>0.1875867297825089</v>
      </c>
      <c r="E641" s="8">
        <f t="shared" ca="1" si="68"/>
        <v>1</v>
      </c>
      <c r="F641" s="8">
        <f t="shared" ca="1" si="69"/>
        <v>5</v>
      </c>
      <c r="G641" s="14">
        <f t="shared" ca="1" si="70"/>
        <v>5.7313117228515953E-2</v>
      </c>
      <c r="H641" s="8">
        <f t="shared" ca="1" si="71"/>
        <v>7</v>
      </c>
    </row>
    <row r="642" spans="1:8">
      <c r="A642" s="8">
        <v>637</v>
      </c>
      <c r="B642" s="9">
        <f t="shared" ca="1" si="65"/>
        <v>3.7305069619866238E-3</v>
      </c>
      <c r="C642" s="10" t="str">
        <f t="shared" ca="1" si="66"/>
        <v>Navegación</v>
      </c>
      <c r="D642" s="9">
        <f t="shared" ca="1" si="67"/>
        <v>0.3019630988797275</v>
      </c>
      <c r="E642" s="10">
        <f t="shared" ca="1" si="68"/>
        <v>2</v>
      </c>
      <c r="F642" s="10">
        <f t="shared" ca="1" si="69"/>
        <v>3</v>
      </c>
      <c r="G642" s="9">
        <f t="shared" ca="1" si="70"/>
        <v>7.2840280367805654E-2</v>
      </c>
      <c r="H642" s="10">
        <f t="shared" ca="1" si="71"/>
        <v>7</v>
      </c>
    </row>
    <row r="643" spans="1:8">
      <c r="A643" s="8">
        <v>638</v>
      </c>
      <c r="B643" s="14">
        <f t="shared" ca="1" si="65"/>
        <v>0.35945322467728669</v>
      </c>
      <c r="C643" s="8" t="str">
        <f t="shared" ca="1" si="66"/>
        <v>Navegación</v>
      </c>
      <c r="D643" s="14">
        <f t="shared" ca="1" si="67"/>
        <v>0.65477486628398041</v>
      </c>
      <c r="E643" s="8">
        <f t="shared" ca="1" si="68"/>
        <v>4</v>
      </c>
      <c r="F643" s="8">
        <f t="shared" ca="1" si="69"/>
        <v>4</v>
      </c>
      <c r="G643" s="14">
        <f t="shared" ca="1" si="70"/>
        <v>8.2136951402266178E-2</v>
      </c>
      <c r="H643" s="8">
        <f t="shared" ca="1" si="71"/>
        <v>7</v>
      </c>
    </row>
    <row r="644" spans="1:8">
      <c r="A644" s="8">
        <v>639</v>
      </c>
      <c r="B644" s="9">
        <f t="shared" ca="1" si="65"/>
        <v>0.38467169789434841</v>
      </c>
      <c r="C644" s="10" t="str">
        <f t="shared" ca="1" si="66"/>
        <v>Navegación</v>
      </c>
      <c r="D644" s="9">
        <f t="shared" ca="1" si="67"/>
        <v>0.84763917459970217</v>
      </c>
      <c r="E644" s="10">
        <f t="shared" ca="1" si="68"/>
        <v>5</v>
      </c>
      <c r="F644" s="10">
        <f t="shared" ca="1" si="69"/>
        <v>2</v>
      </c>
      <c r="G644" s="9">
        <f t="shared" ca="1" si="70"/>
        <v>0.87989188269692764</v>
      </c>
      <c r="H644" s="10">
        <f t="shared" ca="1" si="71"/>
        <v>16</v>
      </c>
    </row>
    <row r="645" spans="1:8">
      <c r="A645" s="8">
        <v>640</v>
      </c>
      <c r="B645" s="14">
        <f t="shared" ca="1" si="65"/>
        <v>0.52101974748357194</v>
      </c>
      <c r="C645" s="8" t="str">
        <f t="shared" ca="1" si="66"/>
        <v>Navegación</v>
      </c>
      <c r="D645" s="14">
        <f t="shared" ca="1" si="67"/>
        <v>0.58634848001633955</v>
      </c>
      <c r="E645" s="8">
        <f t="shared" ca="1" si="68"/>
        <v>3</v>
      </c>
      <c r="F645" s="8">
        <f t="shared" ca="1" si="69"/>
        <v>3</v>
      </c>
      <c r="G645" s="14">
        <f t="shared" ca="1" si="70"/>
        <v>1.8472711469595171E-2</v>
      </c>
      <c r="H645" s="8">
        <f t="shared" ca="1" si="71"/>
        <v>5</v>
      </c>
    </row>
    <row r="646" spans="1:8">
      <c r="A646" s="8">
        <v>641</v>
      </c>
      <c r="B646" s="9">
        <f t="shared" ref="B646:B709" ca="1" si="72">RAND()</f>
        <v>0.86342959353956805</v>
      </c>
      <c r="C646" s="10" t="str">
        <f t="shared" ref="C646:C709" ca="1" si="73">VLOOKUP(B646, $J$6:$K$8, 2, TRUE)</f>
        <v>Checkout</v>
      </c>
      <c r="D646" s="9">
        <f t="shared" ref="D646:D709" ca="1" si="74">RAND()</f>
        <v>0.11490041658290517</v>
      </c>
      <c r="E646" s="10">
        <f t="shared" ref="E646:E709" ca="1" si="75">INT(D646*($O$7-$O$6+1))+$O$6</f>
        <v>1</v>
      </c>
      <c r="F646" s="10">
        <f t="shared" ref="F646:F709" ca="1" si="76">RANDBETWEEN($O$6, $O$7)</f>
        <v>1</v>
      </c>
      <c r="G646" s="9">
        <f t="shared" ref="G646:G709" ca="1" si="77">RAND()</f>
        <v>0.88666079861539371</v>
      </c>
      <c r="H646" s="10">
        <f t="shared" ref="H646:H709" ca="1" si="78">VLOOKUP(G646, $W$5:$X$39, 2, TRUE)</f>
        <v>16</v>
      </c>
    </row>
    <row r="647" spans="1:8">
      <c r="A647" s="8">
        <v>642</v>
      </c>
      <c r="B647" s="14">
        <f t="shared" ca="1" si="72"/>
        <v>0.9641279003095854</v>
      </c>
      <c r="C647" s="8" t="str">
        <f t="shared" ca="1" si="73"/>
        <v>Checkout</v>
      </c>
      <c r="D647" s="14">
        <f t="shared" ca="1" si="74"/>
        <v>0.92151215236276485</v>
      </c>
      <c r="E647" s="8">
        <f t="shared" ca="1" si="75"/>
        <v>5</v>
      </c>
      <c r="F647" s="8">
        <f t="shared" ca="1" si="76"/>
        <v>3</v>
      </c>
      <c r="G647" s="14">
        <f t="shared" ca="1" si="77"/>
        <v>0.16252563101275386</v>
      </c>
      <c r="H647" s="8">
        <f t="shared" ca="1" si="78"/>
        <v>9</v>
      </c>
    </row>
    <row r="648" spans="1:8">
      <c r="A648" s="8">
        <v>643</v>
      </c>
      <c r="B648" s="9">
        <f t="shared" ca="1" si="72"/>
        <v>2.8765174856460574E-2</v>
      </c>
      <c r="C648" s="10" t="str">
        <f t="shared" ca="1" si="73"/>
        <v>Navegación</v>
      </c>
      <c r="D648" s="9">
        <f t="shared" ca="1" si="74"/>
        <v>8.3269895267224725E-2</v>
      </c>
      <c r="E648" s="10">
        <f t="shared" ca="1" si="75"/>
        <v>1</v>
      </c>
      <c r="F648" s="10">
        <f t="shared" ca="1" si="76"/>
        <v>4</v>
      </c>
      <c r="G648" s="9">
        <f t="shared" ca="1" si="77"/>
        <v>0.70482238000233588</v>
      </c>
      <c r="H648" s="10">
        <f t="shared" ca="1" si="78"/>
        <v>14</v>
      </c>
    </row>
    <row r="649" spans="1:8">
      <c r="A649" s="8">
        <v>644</v>
      </c>
      <c r="B649" s="14">
        <f t="shared" ca="1" si="72"/>
        <v>0.91362366911839232</v>
      </c>
      <c r="C649" s="8" t="str">
        <f t="shared" ca="1" si="73"/>
        <v>Checkout</v>
      </c>
      <c r="D649" s="14">
        <f t="shared" ca="1" si="74"/>
        <v>0.86573833681222845</v>
      </c>
      <c r="E649" s="8">
        <f t="shared" ca="1" si="75"/>
        <v>5</v>
      </c>
      <c r="F649" s="8">
        <f t="shared" ca="1" si="76"/>
        <v>2</v>
      </c>
      <c r="G649" s="14">
        <f t="shared" ca="1" si="77"/>
        <v>0.64921092814800485</v>
      </c>
      <c r="H649" s="8">
        <f t="shared" ca="1" si="78"/>
        <v>13</v>
      </c>
    </row>
    <row r="650" spans="1:8">
      <c r="A650" s="8">
        <v>645</v>
      </c>
      <c r="B650" s="9">
        <f t="shared" ca="1" si="72"/>
        <v>0.42274026542564114</v>
      </c>
      <c r="C650" s="10" t="str">
        <f t="shared" ca="1" si="73"/>
        <v>Navegación</v>
      </c>
      <c r="D650" s="9">
        <f t="shared" ca="1" si="74"/>
        <v>6.8530448636949126E-2</v>
      </c>
      <c r="E650" s="10">
        <f t="shared" ca="1" si="75"/>
        <v>1</v>
      </c>
      <c r="F650" s="10">
        <f t="shared" ca="1" si="76"/>
        <v>4</v>
      </c>
      <c r="G650" s="9">
        <f t="shared" ca="1" si="77"/>
        <v>0.43309881590076849</v>
      </c>
      <c r="H650" s="10">
        <f t="shared" ca="1" si="78"/>
        <v>11</v>
      </c>
    </row>
    <row r="651" spans="1:8">
      <c r="A651" s="8">
        <v>646</v>
      </c>
      <c r="B651" s="14">
        <f t="shared" ca="1" si="72"/>
        <v>0.12117137008147727</v>
      </c>
      <c r="C651" s="8" t="str">
        <f t="shared" ca="1" si="73"/>
        <v>Navegación</v>
      </c>
      <c r="D651" s="14">
        <f t="shared" ca="1" si="74"/>
        <v>0.53691655981251907</v>
      </c>
      <c r="E651" s="8">
        <f t="shared" ca="1" si="75"/>
        <v>3</v>
      </c>
      <c r="F651" s="8">
        <f t="shared" ca="1" si="76"/>
        <v>2</v>
      </c>
      <c r="G651" s="14">
        <f t="shared" ca="1" si="77"/>
        <v>0.42244698512999079</v>
      </c>
      <c r="H651" s="8">
        <f t="shared" ca="1" si="78"/>
        <v>11</v>
      </c>
    </row>
    <row r="652" spans="1:8">
      <c r="A652" s="8">
        <v>647</v>
      </c>
      <c r="B652" s="9">
        <f t="shared" ca="1" si="72"/>
        <v>0.74923838643505747</v>
      </c>
      <c r="C652" s="10" t="str">
        <f t="shared" ca="1" si="73"/>
        <v>Carrito</v>
      </c>
      <c r="D652" s="9">
        <f t="shared" ca="1" si="74"/>
        <v>0.62469906929248487</v>
      </c>
      <c r="E652" s="10">
        <f t="shared" ca="1" si="75"/>
        <v>4</v>
      </c>
      <c r="F652" s="10">
        <f t="shared" ca="1" si="76"/>
        <v>5</v>
      </c>
      <c r="G652" s="9">
        <f t="shared" ca="1" si="77"/>
        <v>0.71591988417441799</v>
      </c>
      <c r="H652" s="10">
        <f t="shared" ca="1" si="78"/>
        <v>14</v>
      </c>
    </row>
    <row r="653" spans="1:8">
      <c r="A653" s="8">
        <v>648</v>
      </c>
      <c r="B653" s="14">
        <f t="shared" ca="1" si="72"/>
        <v>7.1510942998420646E-3</v>
      </c>
      <c r="C653" s="8" t="str">
        <f t="shared" ca="1" si="73"/>
        <v>Navegación</v>
      </c>
      <c r="D653" s="14">
        <f t="shared" ca="1" si="74"/>
        <v>0.96327135798197971</v>
      </c>
      <c r="E653" s="8">
        <f t="shared" ca="1" si="75"/>
        <v>5</v>
      </c>
      <c r="F653" s="8">
        <f t="shared" ca="1" si="76"/>
        <v>2</v>
      </c>
      <c r="G653" s="14">
        <f t="shared" ca="1" si="77"/>
        <v>0.41693345297611761</v>
      </c>
      <c r="H653" s="8">
        <f t="shared" ca="1" si="78"/>
        <v>11</v>
      </c>
    </row>
    <row r="654" spans="1:8">
      <c r="A654" s="8">
        <v>649</v>
      </c>
      <c r="B654" s="9">
        <f t="shared" ca="1" si="72"/>
        <v>0.18923315978912214</v>
      </c>
      <c r="C654" s="10" t="str">
        <f t="shared" ca="1" si="73"/>
        <v>Navegación</v>
      </c>
      <c r="D654" s="9">
        <f t="shared" ca="1" si="74"/>
        <v>0.15047861708155108</v>
      </c>
      <c r="E654" s="10">
        <f t="shared" ca="1" si="75"/>
        <v>1</v>
      </c>
      <c r="F654" s="10">
        <f t="shared" ca="1" si="76"/>
        <v>5</v>
      </c>
      <c r="G654" s="9">
        <f t="shared" ca="1" si="77"/>
        <v>0.53716929316129058</v>
      </c>
      <c r="H654" s="10">
        <f t="shared" ca="1" si="78"/>
        <v>12</v>
      </c>
    </row>
    <row r="655" spans="1:8">
      <c r="A655" s="8">
        <v>650</v>
      </c>
      <c r="B655" s="14">
        <f t="shared" ca="1" si="72"/>
        <v>0.39779960055267616</v>
      </c>
      <c r="C655" s="8" t="str">
        <f t="shared" ca="1" si="73"/>
        <v>Navegación</v>
      </c>
      <c r="D655" s="14">
        <f t="shared" ca="1" si="74"/>
        <v>0.16310382770699694</v>
      </c>
      <c r="E655" s="8">
        <f t="shared" ca="1" si="75"/>
        <v>1</v>
      </c>
      <c r="F655" s="8">
        <f t="shared" ca="1" si="76"/>
        <v>4</v>
      </c>
      <c r="G655" s="14">
        <f t="shared" ca="1" si="77"/>
        <v>0.99828124168433863</v>
      </c>
      <c r="H655" s="8">
        <f t="shared" ca="1" si="78"/>
        <v>23</v>
      </c>
    </row>
    <row r="656" spans="1:8">
      <c r="A656" s="8">
        <v>651</v>
      </c>
      <c r="B656" s="9">
        <f t="shared" ca="1" si="72"/>
        <v>0.67098313392417497</v>
      </c>
      <c r="C656" s="10" t="str">
        <f t="shared" ca="1" si="73"/>
        <v>Carrito</v>
      </c>
      <c r="D656" s="9">
        <f t="shared" ca="1" si="74"/>
        <v>9.5917677355099706E-2</v>
      </c>
      <c r="E656" s="10">
        <f t="shared" ca="1" si="75"/>
        <v>1</v>
      </c>
      <c r="F656" s="10">
        <f t="shared" ca="1" si="76"/>
        <v>3</v>
      </c>
      <c r="G656" s="9">
        <f t="shared" ca="1" si="77"/>
        <v>0.75727727443398174</v>
      </c>
      <c r="H656" s="10">
        <f t="shared" ca="1" si="78"/>
        <v>14</v>
      </c>
    </row>
    <row r="657" spans="1:8">
      <c r="A657" s="8">
        <v>652</v>
      </c>
      <c r="B657" s="14">
        <f t="shared" ca="1" si="72"/>
        <v>0.19267092476136471</v>
      </c>
      <c r="C657" s="8" t="str">
        <f t="shared" ca="1" si="73"/>
        <v>Navegación</v>
      </c>
      <c r="D657" s="14">
        <f t="shared" ca="1" si="74"/>
        <v>0.64841182182711499</v>
      </c>
      <c r="E657" s="8">
        <f t="shared" ca="1" si="75"/>
        <v>4</v>
      </c>
      <c r="F657" s="8">
        <f t="shared" ca="1" si="76"/>
        <v>3</v>
      </c>
      <c r="G657" s="14">
        <f t="shared" ca="1" si="77"/>
        <v>0.98809874888820581</v>
      </c>
      <c r="H657" s="8">
        <f t="shared" ca="1" si="78"/>
        <v>20</v>
      </c>
    </row>
    <row r="658" spans="1:8">
      <c r="A658" s="8">
        <v>653</v>
      </c>
      <c r="B658" s="9">
        <f t="shared" ca="1" si="72"/>
        <v>0.87853446576798433</v>
      </c>
      <c r="C658" s="10" t="str">
        <f t="shared" ca="1" si="73"/>
        <v>Checkout</v>
      </c>
      <c r="D658" s="9">
        <f t="shared" ca="1" si="74"/>
        <v>8.4780307780262243E-3</v>
      </c>
      <c r="E658" s="10">
        <f t="shared" ca="1" si="75"/>
        <v>1</v>
      </c>
      <c r="F658" s="10">
        <f t="shared" ca="1" si="76"/>
        <v>3</v>
      </c>
      <c r="G658" s="9">
        <f t="shared" ca="1" si="77"/>
        <v>0.6678850273598379</v>
      </c>
      <c r="H658" s="10">
        <f t="shared" ca="1" si="78"/>
        <v>13</v>
      </c>
    </row>
    <row r="659" spans="1:8">
      <c r="A659" s="8">
        <v>654</v>
      </c>
      <c r="B659" s="14">
        <f t="shared" ca="1" si="72"/>
        <v>0.85525701106122864</v>
      </c>
      <c r="C659" s="8" t="str">
        <f t="shared" ca="1" si="73"/>
        <v>Checkout</v>
      </c>
      <c r="D659" s="14">
        <f t="shared" ca="1" si="74"/>
        <v>0.44801239119375247</v>
      </c>
      <c r="E659" s="8">
        <f t="shared" ca="1" si="75"/>
        <v>3</v>
      </c>
      <c r="F659" s="8">
        <f t="shared" ca="1" si="76"/>
        <v>5</v>
      </c>
      <c r="G659" s="14">
        <f t="shared" ca="1" si="77"/>
        <v>0.69215018945418372</v>
      </c>
      <c r="H659" s="8">
        <f t="shared" ca="1" si="78"/>
        <v>14</v>
      </c>
    </row>
    <row r="660" spans="1:8">
      <c r="A660" s="8">
        <v>655</v>
      </c>
      <c r="B660" s="9">
        <f t="shared" ca="1" si="72"/>
        <v>0.32652097023625715</v>
      </c>
      <c r="C660" s="10" t="str">
        <f t="shared" ca="1" si="73"/>
        <v>Navegación</v>
      </c>
      <c r="D660" s="9">
        <f t="shared" ca="1" si="74"/>
        <v>0.40164267027753231</v>
      </c>
      <c r="E660" s="10">
        <f t="shared" ca="1" si="75"/>
        <v>3</v>
      </c>
      <c r="F660" s="10">
        <f t="shared" ca="1" si="76"/>
        <v>3</v>
      </c>
      <c r="G660" s="9">
        <f t="shared" ca="1" si="77"/>
        <v>0.39013580199011499</v>
      </c>
      <c r="H660" s="10">
        <f t="shared" ca="1" si="78"/>
        <v>11</v>
      </c>
    </row>
    <row r="661" spans="1:8">
      <c r="A661" s="8">
        <v>656</v>
      </c>
      <c r="B661" s="14">
        <f t="shared" ca="1" si="72"/>
        <v>0.3356503101994649</v>
      </c>
      <c r="C661" s="8" t="str">
        <f t="shared" ca="1" si="73"/>
        <v>Navegación</v>
      </c>
      <c r="D661" s="14">
        <f t="shared" ca="1" si="74"/>
        <v>0.81460471397429024</v>
      </c>
      <c r="E661" s="8">
        <f t="shared" ca="1" si="75"/>
        <v>5</v>
      </c>
      <c r="F661" s="8">
        <f t="shared" ca="1" si="76"/>
        <v>2</v>
      </c>
      <c r="G661" s="14">
        <f t="shared" ca="1" si="77"/>
        <v>0.65936857432910501</v>
      </c>
      <c r="H661" s="8">
        <f t="shared" ca="1" si="78"/>
        <v>13</v>
      </c>
    </row>
    <row r="662" spans="1:8">
      <c r="A662" s="8">
        <v>657</v>
      </c>
      <c r="B662" s="9">
        <f t="shared" ca="1" si="72"/>
        <v>0.76199842372438154</v>
      </c>
      <c r="C662" s="10" t="str">
        <f t="shared" ca="1" si="73"/>
        <v>Carrito</v>
      </c>
      <c r="D662" s="9">
        <f t="shared" ca="1" si="74"/>
        <v>0.31208229063919024</v>
      </c>
      <c r="E662" s="10">
        <f t="shared" ca="1" si="75"/>
        <v>2</v>
      </c>
      <c r="F662" s="10">
        <f t="shared" ca="1" si="76"/>
        <v>1</v>
      </c>
      <c r="G662" s="9">
        <f t="shared" ca="1" si="77"/>
        <v>0.13583721744183563</v>
      </c>
      <c r="H662" s="10">
        <f t="shared" ca="1" si="78"/>
        <v>8</v>
      </c>
    </row>
    <row r="663" spans="1:8">
      <c r="A663" s="8">
        <v>658</v>
      </c>
      <c r="B663" s="14">
        <f t="shared" ca="1" si="72"/>
        <v>1.2588269110218042E-2</v>
      </c>
      <c r="C663" s="8" t="str">
        <f t="shared" ca="1" si="73"/>
        <v>Navegación</v>
      </c>
      <c r="D663" s="14">
        <f t="shared" ca="1" si="74"/>
        <v>0.31033886238303166</v>
      </c>
      <c r="E663" s="8">
        <f t="shared" ca="1" si="75"/>
        <v>2</v>
      </c>
      <c r="F663" s="8">
        <f t="shared" ca="1" si="76"/>
        <v>2</v>
      </c>
      <c r="G663" s="14">
        <f t="shared" ca="1" si="77"/>
        <v>0.65937984224731716</v>
      </c>
      <c r="H663" s="8">
        <f t="shared" ca="1" si="78"/>
        <v>13</v>
      </c>
    </row>
    <row r="664" spans="1:8">
      <c r="A664" s="8">
        <v>659</v>
      </c>
      <c r="B664" s="9">
        <f t="shared" ca="1" si="72"/>
        <v>5.720363775030779E-2</v>
      </c>
      <c r="C664" s="10" t="str">
        <f t="shared" ca="1" si="73"/>
        <v>Navegación</v>
      </c>
      <c r="D664" s="9">
        <f t="shared" ca="1" si="74"/>
        <v>0.21260275040798438</v>
      </c>
      <c r="E664" s="10">
        <f t="shared" ca="1" si="75"/>
        <v>2</v>
      </c>
      <c r="F664" s="10">
        <f t="shared" ca="1" si="76"/>
        <v>1</v>
      </c>
      <c r="G664" s="9">
        <f t="shared" ca="1" si="77"/>
        <v>0.67321643282355559</v>
      </c>
      <c r="H664" s="10">
        <f t="shared" ca="1" si="78"/>
        <v>13</v>
      </c>
    </row>
    <row r="665" spans="1:8">
      <c r="A665" s="8">
        <v>660</v>
      </c>
      <c r="B665" s="14">
        <f t="shared" ca="1" si="72"/>
        <v>0.59731959698963477</v>
      </c>
      <c r="C665" s="8" t="str">
        <f t="shared" ca="1" si="73"/>
        <v>Carrito</v>
      </c>
      <c r="D665" s="14">
        <f t="shared" ca="1" si="74"/>
        <v>0.82671205611515397</v>
      </c>
      <c r="E665" s="8">
        <f t="shared" ca="1" si="75"/>
        <v>5</v>
      </c>
      <c r="F665" s="8">
        <f t="shared" ca="1" si="76"/>
        <v>3</v>
      </c>
      <c r="G665" s="14">
        <f t="shared" ca="1" si="77"/>
        <v>7.9904942017809732E-2</v>
      </c>
      <c r="H665" s="8">
        <f t="shared" ca="1" si="78"/>
        <v>7</v>
      </c>
    </row>
    <row r="666" spans="1:8">
      <c r="A666" s="8">
        <v>661</v>
      </c>
      <c r="B666" s="9">
        <f t="shared" ca="1" si="72"/>
        <v>0.82468403907012444</v>
      </c>
      <c r="C666" s="10" t="str">
        <f t="shared" ca="1" si="73"/>
        <v>Carrito</v>
      </c>
      <c r="D666" s="9">
        <f t="shared" ca="1" si="74"/>
        <v>0.66857302117619322</v>
      </c>
      <c r="E666" s="10">
        <f t="shared" ca="1" si="75"/>
        <v>4</v>
      </c>
      <c r="F666" s="10">
        <f t="shared" ca="1" si="76"/>
        <v>2</v>
      </c>
      <c r="G666" s="9">
        <f t="shared" ca="1" si="77"/>
        <v>0.98029789371061171</v>
      </c>
      <c r="H666" s="10">
        <f t="shared" ca="1" si="78"/>
        <v>20</v>
      </c>
    </row>
    <row r="667" spans="1:8">
      <c r="A667" s="8">
        <v>662</v>
      </c>
      <c r="B667" s="14">
        <f t="shared" ca="1" si="72"/>
        <v>0.16825144574191653</v>
      </c>
      <c r="C667" s="8" t="str">
        <f t="shared" ca="1" si="73"/>
        <v>Navegación</v>
      </c>
      <c r="D667" s="14">
        <f t="shared" ca="1" si="74"/>
        <v>0.46848038366682432</v>
      </c>
      <c r="E667" s="8">
        <f t="shared" ca="1" si="75"/>
        <v>3</v>
      </c>
      <c r="F667" s="8">
        <f t="shared" ca="1" si="76"/>
        <v>1</v>
      </c>
      <c r="G667" s="14">
        <f t="shared" ca="1" si="77"/>
        <v>0.65126510361538215</v>
      </c>
      <c r="H667" s="8">
        <f t="shared" ca="1" si="78"/>
        <v>13</v>
      </c>
    </row>
    <row r="668" spans="1:8">
      <c r="A668" s="8">
        <v>663</v>
      </c>
      <c r="B668" s="9">
        <f t="shared" ca="1" si="72"/>
        <v>0.3111240038132882</v>
      </c>
      <c r="C668" s="10" t="str">
        <f t="shared" ca="1" si="73"/>
        <v>Navegación</v>
      </c>
      <c r="D668" s="9">
        <f t="shared" ca="1" si="74"/>
        <v>5.0582069321560508E-2</v>
      </c>
      <c r="E668" s="10">
        <f t="shared" ca="1" si="75"/>
        <v>1</v>
      </c>
      <c r="F668" s="10">
        <f t="shared" ca="1" si="76"/>
        <v>2</v>
      </c>
      <c r="G668" s="9">
        <f t="shared" ca="1" si="77"/>
        <v>0.63142034860728702</v>
      </c>
      <c r="H668" s="10">
        <f t="shared" ca="1" si="78"/>
        <v>13</v>
      </c>
    </row>
    <row r="669" spans="1:8">
      <c r="A669" s="8">
        <v>664</v>
      </c>
      <c r="B669" s="14">
        <f t="shared" ca="1" si="72"/>
        <v>5.8998779126300249E-2</v>
      </c>
      <c r="C669" s="8" t="str">
        <f t="shared" ca="1" si="73"/>
        <v>Navegación</v>
      </c>
      <c r="D669" s="14">
        <f t="shared" ca="1" si="74"/>
        <v>0.58979488198116781</v>
      </c>
      <c r="E669" s="8">
        <f t="shared" ca="1" si="75"/>
        <v>3</v>
      </c>
      <c r="F669" s="8">
        <f t="shared" ca="1" si="76"/>
        <v>5</v>
      </c>
      <c r="G669" s="14">
        <f t="shared" ca="1" si="77"/>
        <v>0.97499169636787175</v>
      </c>
      <c r="H669" s="8">
        <f t="shared" ca="1" si="78"/>
        <v>19</v>
      </c>
    </row>
    <row r="670" spans="1:8">
      <c r="A670" s="8">
        <v>665</v>
      </c>
      <c r="B670" s="9">
        <f t="shared" ca="1" si="72"/>
        <v>0.26699046171158802</v>
      </c>
      <c r="C670" s="10" t="str">
        <f t="shared" ca="1" si="73"/>
        <v>Navegación</v>
      </c>
      <c r="D670" s="9">
        <f t="shared" ca="1" si="74"/>
        <v>0.57444997797970476</v>
      </c>
      <c r="E670" s="10">
        <f t="shared" ca="1" si="75"/>
        <v>3</v>
      </c>
      <c r="F670" s="10">
        <f t="shared" ca="1" si="76"/>
        <v>4</v>
      </c>
      <c r="G670" s="9">
        <f t="shared" ca="1" si="77"/>
        <v>0.3147630180638934</v>
      </c>
      <c r="H670" s="10">
        <f t="shared" ca="1" si="78"/>
        <v>10</v>
      </c>
    </row>
    <row r="671" spans="1:8">
      <c r="A671" s="8">
        <v>666</v>
      </c>
      <c r="B671" s="14">
        <f t="shared" ca="1" si="72"/>
        <v>0.47869895512671012</v>
      </c>
      <c r="C671" s="8" t="str">
        <f t="shared" ca="1" si="73"/>
        <v>Navegación</v>
      </c>
      <c r="D671" s="14">
        <f t="shared" ca="1" si="74"/>
        <v>0.34754933830313395</v>
      </c>
      <c r="E671" s="8">
        <f t="shared" ca="1" si="75"/>
        <v>2</v>
      </c>
      <c r="F671" s="8">
        <f t="shared" ca="1" si="76"/>
        <v>4</v>
      </c>
      <c r="G671" s="14">
        <f t="shared" ca="1" si="77"/>
        <v>0.98898240553058214</v>
      </c>
      <c r="H671" s="8">
        <f t="shared" ca="1" si="78"/>
        <v>21</v>
      </c>
    </row>
    <row r="672" spans="1:8">
      <c r="A672" s="8">
        <v>667</v>
      </c>
      <c r="B672" s="9">
        <f t="shared" ca="1" si="72"/>
        <v>0.282951956150988</v>
      </c>
      <c r="C672" s="10" t="str">
        <f t="shared" ca="1" si="73"/>
        <v>Navegación</v>
      </c>
      <c r="D672" s="9">
        <f t="shared" ca="1" si="74"/>
        <v>0.17836253915432465</v>
      </c>
      <c r="E672" s="10">
        <f t="shared" ca="1" si="75"/>
        <v>1</v>
      </c>
      <c r="F672" s="10">
        <f t="shared" ca="1" si="76"/>
        <v>3</v>
      </c>
      <c r="G672" s="9">
        <f t="shared" ca="1" si="77"/>
        <v>0.10746978601596058</v>
      </c>
      <c r="H672" s="10">
        <f t="shared" ca="1" si="78"/>
        <v>8</v>
      </c>
    </row>
    <row r="673" spans="1:8">
      <c r="A673" s="8">
        <v>668</v>
      </c>
      <c r="B673" s="14">
        <f t="shared" ca="1" si="72"/>
        <v>0.54265641136241849</v>
      </c>
      <c r="C673" s="8" t="str">
        <f t="shared" ca="1" si="73"/>
        <v>Navegación</v>
      </c>
      <c r="D673" s="14">
        <f t="shared" ca="1" si="74"/>
        <v>0.87229816888499156</v>
      </c>
      <c r="E673" s="8">
        <f t="shared" ca="1" si="75"/>
        <v>5</v>
      </c>
      <c r="F673" s="8">
        <f t="shared" ca="1" si="76"/>
        <v>5</v>
      </c>
      <c r="G673" s="14">
        <f t="shared" ca="1" si="77"/>
        <v>0.26667844359194626</v>
      </c>
      <c r="H673" s="8">
        <f t="shared" ca="1" si="78"/>
        <v>10</v>
      </c>
    </row>
    <row r="674" spans="1:8">
      <c r="A674" s="8">
        <v>669</v>
      </c>
      <c r="B674" s="9">
        <f t="shared" ca="1" si="72"/>
        <v>0.60760983057928541</v>
      </c>
      <c r="C674" s="10" t="str">
        <f t="shared" ca="1" si="73"/>
        <v>Carrito</v>
      </c>
      <c r="D674" s="9">
        <f t="shared" ca="1" si="74"/>
        <v>0.84957722916754863</v>
      </c>
      <c r="E674" s="10">
        <f t="shared" ca="1" si="75"/>
        <v>5</v>
      </c>
      <c r="F674" s="10">
        <f t="shared" ca="1" si="76"/>
        <v>4</v>
      </c>
      <c r="G674" s="9">
        <f t="shared" ca="1" si="77"/>
        <v>0.79842712954957906</v>
      </c>
      <c r="H674" s="10">
        <f t="shared" ca="1" si="78"/>
        <v>15</v>
      </c>
    </row>
    <row r="675" spans="1:8">
      <c r="A675" s="8">
        <v>670</v>
      </c>
      <c r="B675" s="14">
        <f t="shared" ca="1" si="72"/>
        <v>0.78383716813023796</v>
      </c>
      <c r="C675" s="8" t="str">
        <f t="shared" ca="1" si="73"/>
        <v>Carrito</v>
      </c>
      <c r="D675" s="14">
        <f t="shared" ca="1" si="74"/>
        <v>0.49356554621950965</v>
      </c>
      <c r="E675" s="8">
        <f t="shared" ca="1" si="75"/>
        <v>3</v>
      </c>
      <c r="F675" s="8">
        <f t="shared" ca="1" si="76"/>
        <v>1</v>
      </c>
      <c r="G675" s="14">
        <f t="shared" ca="1" si="77"/>
        <v>0.30976872885777573</v>
      </c>
      <c r="H675" s="8">
        <f t="shared" ca="1" si="78"/>
        <v>10</v>
      </c>
    </row>
    <row r="676" spans="1:8">
      <c r="A676" s="8">
        <v>671</v>
      </c>
      <c r="B676" s="9">
        <f t="shared" ca="1" si="72"/>
        <v>0.92873815248286884</v>
      </c>
      <c r="C676" s="10" t="str">
        <f t="shared" ca="1" si="73"/>
        <v>Checkout</v>
      </c>
      <c r="D676" s="9">
        <f t="shared" ca="1" si="74"/>
        <v>0.98910170598111624</v>
      </c>
      <c r="E676" s="10">
        <f t="shared" ca="1" si="75"/>
        <v>5</v>
      </c>
      <c r="F676" s="10">
        <f t="shared" ca="1" si="76"/>
        <v>2</v>
      </c>
      <c r="G676" s="9">
        <f t="shared" ca="1" si="77"/>
        <v>0.42766627073954244</v>
      </c>
      <c r="H676" s="10">
        <f t="shared" ca="1" si="78"/>
        <v>11</v>
      </c>
    </row>
    <row r="677" spans="1:8">
      <c r="A677" s="8">
        <v>672</v>
      </c>
      <c r="B677" s="14">
        <f t="shared" ca="1" si="72"/>
        <v>0.11389879047857376</v>
      </c>
      <c r="C677" s="8" t="str">
        <f t="shared" ca="1" si="73"/>
        <v>Navegación</v>
      </c>
      <c r="D677" s="14">
        <f t="shared" ca="1" si="74"/>
        <v>0.28895829326916878</v>
      </c>
      <c r="E677" s="8">
        <f t="shared" ca="1" si="75"/>
        <v>2</v>
      </c>
      <c r="F677" s="8">
        <f t="shared" ca="1" si="76"/>
        <v>4</v>
      </c>
      <c r="G677" s="14">
        <f t="shared" ca="1" si="77"/>
        <v>0.78703975955837124</v>
      </c>
      <c r="H677" s="8">
        <f t="shared" ca="1" si="78"/>
        <v>15</v>
      </c>
    </row>
    <row r="678" spans="1:8">
      <c r="A678" s="8">
        <v>673</v>
      </c>
      <c r="B678" s="9">
        <f t="shared" ca="1" si="72"/>
        <v>0.55881896771245509</v>
      </c>
      <c r="C678" s="10" t="str">
        <f t="shared" ca="1" si="73"/>
        <v>Carrito</v>
      </c>
      <c r="D678" s="9">
        <f t="shared" ca="1" si="74"/>
        <v>0.75222953271065374</v>
      </c>
      <c r="E678" s="10">
        <f t="shared" ca="1" si="75"/>
        <v>4</v>
      </c>
      <c r="F678" s="10">
        <f t="shared" ca="1" si="76"/>
        <v>1</v>
      </c>
      <c r="G678" s="9">
        <f t="shared" ca="1" si="77"/>
        <v>0.81410351377392431</v>
      </c>
      <c r="H678" s="10">
        <f t="shared" ca="1" si="78"/>
        <v>15</v>
      </c>
    </row>
    <row r="679" spans="1:8">
      <c r="A679" s="8">
        <v>674</v>
      </c>
      <c r="B679" s="14">
        <f t="shared" ca="1" si="72"/>
        <v>0.69011747683442781</v>
      </c>
      <c r="C679" s="8" t="str">
        <f t="shared" ca="1" si="73"/>
        <v>Carrito</v>
      </c>
      <c r="D679" s="14">
        <f t="shared" ca="1" si="74"/>
        <v>0.85887297130555584</v>
      </c>
      <c r="E679" s="8">
        <f t="shared" ca="1" si="75"/>
        <v>5</v>
      </c>
      <c r="F679" s="8">
        <f t="shared" ca="1" si="76"/>
        <v>5</v>
      </c>
      <c r="G679" s="14">
        <f t="shared" ca="1" si="77"/>
        <v>0.94596036631368896</v>
      </c>
      <c r="H679" s="8">
        <f t="shared" ca="1" si="78"/>
        <v>18</v>
      </c>
    </row>
    <row r="680" spans="1:8">
      <c r="A680" s="8">
        <v>675</v>
      </c>
      <c r="B680" s="9">
        <f t="shared" ca="1" si="72"/>
        <v>9.5253222195213483E-2</v>
      </c>
      <c r="C680" s="10" t="str">
        <f t="shared" ca="1" si="73"/>
        <v>Navegación</v>
      </c>
      <c r="D680" s="9">
        <f t="shared" ca="1" si="74"/>
        <v>0.63399850895793153</v>
      </c>
      <c r="E680" s="10">
        <f t="shared" ca="1" si="75"/>
        <v>4</v>
      </c>
      <c r="F680" s="10">
        <f t="shared" ca="1" si="76"/>
        <v>3</v>
      </c>
      <c r="G680" s="9">
        <f t="shared" ca="1" si="77"/>
        <v>0.67650432603033095</v>
      </c>
      <c r="H680" s="10">
        <f t="shared" ca="1" si="78"/>
        <v>13</v>
      </c>
    </row>
    <row r="681" spans="1:8">
      <c r="A681" s="8">
        <v>676</v>
      </c>
      <c r="B681" s="14">
        <f t="shared" ca="1" si="72"/>
        <v>0.88343811970832298</v>
      </c>
      <c r="C681" s="8" t="str">
        <f t="shared" ca="1" si="73"/>
        <v>Checkout</v>
      </c>
      <c r="D681" s="14">
        <f t="shared" ca="1" si="74"/>
        <v>0.88006673224872178</v>
      </c>
      <c r="E681" s="8">
        <f t="shared" ca="1" si="75"/>
        <v>5</v>
      </c>
      <c r="F681" s="8">
        <f t="shared" ca="1" si="76"/>
        <v>2</v>
      </c>
      <c r="G681" s="14">
        <f t="shared" ca="1" si="77"/>
        <v>0.4091278724748344</v>
      </c>
      <c r="H681" s="8">
        <f t="shared" ca="1" si="78"/>
        <v>11</v>
      </c>
    </row>
    <row r="682" spans="1:8">
      <c r="A682" s="8">
        <v>677</v>
      </c>
      <c r="B682" s="9">
        <f t="shared" ca="1" si="72"/>
        <v>0.84971956325885467</v>
      </c>
      <c r="C682" s="10" t="str">
        <f t="shared" ca="1" si="73"/>
        <v>Carrito</v>
      </c>
      <c r="D682" s="9">
        <f t="shared" ca="1" si="74"/>
        <v>0.61895912561894961</v>
      </c>
      <c r="E682" s="10">
        <f t="shared" ca="1" si="75"/>
        <v>4</v>
      </c>
      <c r="F682" s="10">
        <f t="shared" ca="1" si="76"/>
        <v>4</v>
      </c>
      <c r="G682" s="9">
        <f t="shared" ca="1" si="77"/>
        <v>0.72227477385301408</v>
      </c>
      <c r="H682" s="10">
        <f t="shared" ca="1" si="78"/>
        <v>14</v>
      </c>
    </row>
    <row r="683" spans="1:8">
      <c r="A683" s="8">
        <v>678</v>
      </c>
      <c r="B683" s="14">
        <f t="shared" ca="1" si="72"/>
        <v>0.18304405323320883</v>
      </c>
      <c r="C683" s="8" t="str">
        <f t="shared" ca="1" si="73"/>
        <v>Navegación</v>
      </c>
      <c r="D683" s="14">
        <f t="shared" ca="1" si="74"/>
        <v>0.90671470280671462</v>
      </c>
      <c r="E683" s="8">
        <f t="shared" ca="1" si="75"/>
        <v>5</v>
      </c>
      <c r="F683" s="8">
        <f t="shared" ca="1" si="76"/>
        <v>3</v>
      </c>
      <c r="G683" s="14">
        <f t="shared" ca="1" si="77"/>
        <v>7.0841872811825524E-2</v>
      </c>
      <c r="H683" s="8">
        <f t="shared" ca="1" si="78"/>
        <v>7</v>
      </c>
    </row>
    <row r="684" spans="1:8">
      <c r="A684" s="8">
        <v>679</v>
      </c>
      <c r="B684" s="9">
        <f t="shared" ca="1" si="72"/>
        <v>7.2608855126971794E-2</v>
      </c>
      <c r="C684" s="10" t="str">
        <f t="shared" ca="1" si="73"/>
        <v>Navegación</v>
      </c>
      <c r="D684" s="9">
        <f t="shared" ca="1" si="74"/>
        <v>0.92204130624092151</v>
      </c>
      <c r="E684" s="10">
        <f t="shared" ca="1" si="75"/>
        <v>5</v>
      </c>
      <c r="F684" s="10">
        <f t="shared" ca="1" si="76"/>
        <v>4</v>
      </c>
      <c r="G684" s="9">
        <f t="shared" ca="1" si="77"/>
        <v>5.3607370638098173E-2</v>
      </c>
      <c r="H684" s="10">
        <f t="shared" ca="1" si="78"/>
        <v>7</v>
      </c>
    </row>
    <row r="685" spans="1:8">
      <c r="A685" s="8">
        <v>680</v>
      </c>
      <c r="B685" s="14">
        <f t="shared" ca="1" si="72"/>
        <v>8.4820451113069129E-2</v>
      </c>
      <c r="C685" s="8" t="str">
        <f t="shared" ca="1" si="73"/>
        <v>Navegación</v>
      </c>
      <c r="D685" s="14">
        <f t="shared" ca="1" si="74"/>
        <v>0.35797636832872803</v>
      </c>
      <c r="E685" s="8">
        <f t="shared" ca="1" si="75"/>
        <v>2</v>
      </c>
      <c r="F685" s="8">
        <f t="shared" ca="1" si="76"/>
        <v>5</v>
      </c>
      <c r="G685" s="14">
        <f t="shared" ca="1" si="77"/>
        <v>0.19994272293396131</v>
      </c>
      <c r="H685" s="8">
        <f t="shared" ca="1" si="78"/>
        <v>9</v>
      </c>
    </row>
    <row r="686" spans="1:8">
      <c r="A686" s="8">
        <v>681</v>
      </c>
      <c r="B686" s="9">
        <f t="shared" ca="1" si="72"/>
        <v>0.78581383312576514</v>
      </c>
      <c r="C686" s="10" t="str">
        <f t="shared" ca="1" si="73"/>
        <v>Carrito</v>
      </c>
      <c r="D686" s="9">
        <f t="shared" ca="1" si="74"/>
        <v>0.60113347442543019</v>
      </c>
      <c r="E686" s="10">
        <f t="shared" ca="1" si="75"/>
        <v>4</v>
      </c>
      <c r="F686" s="10">
        <f t="shared" ca="1" si="76"/>
        <v>1</v>
      </c>
      <c r="G686" s="9">
        <f t="shared" ca="1" si="77"/>
        <v>0.21025343136410479</v>
      </c>
      <c r="H686" s="10">
        <f t="shared" ca="1" si="78"/>
        <v>9</v>
      </c>
    </row>
    <row r="687" spans="1:8">
      <c r="A687" s="8">
        <v>682</v>
      </c>
      <c r="B687" s="14">
        <f t="shared" ca="1" si="72"/>
        <v>0.27869120207488363</v>
      </c>
      <c r="C687" s="8" t="str">
        <f t="shared" ca="1" si="73"/>
        <v>Navegación</v>
      </c>
      <c r="D687" s="14">
        <f t="shared" ca="1" si="74"/>
        <v>3.3223892290406232E-2</v>
      </c>
      <c r="E687" s="8">
        <f t="shared" ca="1" si="75"/>
        <v>1</v>
      </c>
      <c r="F687" s="8">
        <f t="shared" ca="1" si="76"/>
        <v>5</v>
      </c>
      <c r="G687" s="14">
        <f t="shared" ca="1" si="77"/>
        <v>1.0245813004764015E-2</v>
      </c>
      <c r="H687" s="8">
        <f t="shared" ca="1" si="78"/>
        <v>5</v>
      </c>
    </row>
    <row r="688" spans="1:8">
      <c r="A688" s="8">
        <v>683</v>
      </c>
      <c r="B688" s="9">
        <f t="shared" ca="1" si="72"/>
        <v>0.80592458779270759</v>
      </c>
      <c r="C688" s="10" t="str">
        <f t="shared" ca="1" si="73"/>
        <v>Carrito</v>
      </c>
      <c r="D688" s="9">
        <f t="shared" ca="1" si="74"/>
        <v>0.16789433531427178</v>
      </c>
      <c r="E688" s="10">
        <f t="shared" ca="1" si="75"/>
        <v>1</v>
      </c>
      <c r="F688" s="10">
        <f t="shared" ca="1" si="76"/>
        <v>2</v>
      </c>
      <c r="G688" s="9">
        <f t="shared" ca="1" si="77"/>
        <v>0.52136590016290285</v>
      </c>
      <c r="H688" s="10">
        <f t="shared" ca="1" si="78"/>
        <v>12</v>
      </c>
    </row>
    <row r="689" spans="1:8">
      <c r="A689" s="8">
        <v>684</v>
      </c>
      <c r="B689" s="14">
        <f t="shared" ca="1" si="72"/>
        <v>0.51891712603987306</v>
      </c>
      <c r="C689" s="8" t="str">
        <f t="shared" ca="1" si="73"/>
        <v>Navegación</v>
      </c>
      <c r="D689" s="14">
        <f t="shared" ca="1" si="74"/>
        <v>0.88151284513146733</v>
      </c>
      <c r="E689" s="8">
        <f t="shared" ca="1" si="75"/>
        <v>5</v>
      </c>
      <c r="F689" s="8">
        <f t="shared" ca="1" si="76"/>
        <v>2</v>
      </c>
      <c r="G689" s="14">
        <f t="shared" ca="1" si="77"/>
        <v>0.53471462497903721</v>
      </c>
      <c r="H689" s="8">
        <f t="shared" ca="1" si="78"/>
        <v>12</v>
      </c>
    </row>
    <row r="690" spans="1:8">
      <c r="A690" s="8">
        <v>685</v>
      </c>
      <c r="B690" s="9">
        <f t="shared" ca="1" si="72"/>
        <v>0.87872782296231489</v>
      </c>
      <c r="C690" s="10" t="str">
        <f t="shared" ca="1" si="73"/>
        <v>Checkout</v>
      </c>
      <c r="D690" s="9">
        <f t="shared" ca="1" si="74"/>
        <v>0.98325925300139727</v>
      </c>
      <c r="E690" s="10">
        <f t="shared" ca="1" si="75"/>
        <v>5</v>
      </c>
      <c r="F690" s="10">
        <f t="shared" ca="1" si="76"/>
        <v>1</v>
      </c>
      <c r="G690" s="9">
        <f t="shared" ca="1" si="77"/>
        <v>0.3644030240495707</v>
      </c>
      <c r="H690" s="10">
        <f t="shared" ca="1" si="78"/>
        <v>11</v>
      </c>
    </row>
    <row r="691" spans="1:8">
      <c r="A691" s="8">
        <v>686</v>
      </c>
      <c r="B691" s="14">
        <f t="shared" ca="1" si="72"/>
        <v>0.34633983716185834</v>
      </c>
      <c r="C691" s="8" t="str">
        <f t="shared" ca="1" si="73"/>
        <v>Navegación</v>
      </c>
      <c r="D691" s="14">
        <f t="shared" ca="1" si="74"/>
        <v>0.60056565544328966</v>
      </c>
      <c r="E691" s="8">
        <f t="shared" ca="1" si="75"/>
        <v>4</v>
      </c>
      <c r="F691" s="8">
        <f t="shared" ca="1" si="76"/>
        <v>5</v>
      </c>
      <c r="G691" s="14">
        <f t="shared" ca="1" si="77"/>
        <v>0.95532225224534717</v>
      </c>
      <c r="H691" s="8">
        <f t="shared" ca="1" si="78"/>
        <v>18</v>
      </c>
    </row>
    <row r="692" spans="1:8">
      <c r="A692" s="8">
        <v>687</v>
      </c>
      <c r="B692" s="9">
        <f t="shared" ca="1" si="72"/>
        <v>0.11747795326800003</v>
      </c>
      <c r="C692" s="10" t="str">
        <f t="shared" ca="1" si="73"/>
        <v>Navegación</v>
      </c>
      <c r="D692" s="9">
        <f t="shared" ca="1" si="74"/>
        <v>7.4978963013005884E-2</v>
      </c>
      <c r="E692" s="10">
        <f t="shared" ca="1" si="75"/>
        <v>1</v>
      </c>
      <c r="F692" s="10">
        <f t="shared" ca="1" si="76"/>
        <v>1</v>
      </c>
      <c r="G692" s="9">
        <f t="shared" ca="1" si="77"/>
        <v>0.62269527010572068</v>
      </c>
      <c r="H692" s="10">
        <f t="shared" ca="1" si="78"/>
        <v>13</v>
      </c>
    </row>
    <row r="693" spans="1:8">
      <c r="A693" s="8">
        <v>688</v>
      </c>
      <c r="B693" s="14">
        <f t="shared" ca="1" si="72"/>
        <v>0.48620308341449203</v>
      </c>
      <c r="C693" s="8" t="str">
        <f t="shared" ca="1" si="73"/>
        <v>Navegación</v>
      </c>
      <c r="D693" s="14">
        <f t="shared" ca="1" si="74"/>
        <v>0.8523889671471796</v>
      </c>
      <c r="E693" s="8">
        <f t="shared" ca="1" si="75"/>
        <v>5</v>
      </c>
      <c r="F693" s="8">
        <f t="shared" ca="1" si="76"/>
        <v>2</v>
      </c>
      <c r="G693" s="14">
        <f t="shared" ca="1" si="77"/>
        <v>0.90328182683979419</v>
      </c>
      <c r="H693" s="8">
        <f t="shared" ca="1" si="78"/>
        <v>17</v>
      </c>
    </row>
    <row r="694" spans="1:8">
      <c r="A694" s="8">
        <v>689</v>
      </c>
      <c r="B694" s="9">
        <f t="shared" ca="1" si="72"/>
        <v>0.25983175991569296</v>
      </c>
      <c r="C694" s="10" t="str">
        <f t="shared" ca="1" si="73"/>
        <v>Navegación</v>
      </c>
      <c r="D694" s="9">
        <f t="shared" ca="1" si="74"/>
        <v>0.52374005205467333</v>
      </c>
      <c r="E694" s="10">
        <f t="shared" ca="1" si="75"/>
        <v>3</v>
      </c>
      <c r="F694" s="10">
        <f t="shared" ca="1" si="76"/>
        <v>4</v>
      </c>
      <c r="G694" s="9">
        <f t="shared" ca="1" si="77"/>
        <v>0.65629805238355521</v>
      </c>
      <c r="H694" s="10">
        <f t="shared" ca="1" si="78"/>
        <v>13</v>
      </c>
    </row>
    <row r="695" spans="1:8">
      <c r="A695" s="8">
        <v>690</v>
      </c>
      <c r="B695" s="14">
        <f t="shared" ca="1" si="72"/>
        <v>0.27434238401258704</v>
      </c>
      <c r="C695" s="8" t="str">
        <f t="shared" ca="1" si="73"/>
        <v>Navegación</v>
      </c>
      <c r="D695" s="14">
        <f t="shared" ca="1" si="74"/>
        <v>0.26082290979483458</v>
      </c>
      <c r="E695" s="8">
        <f t="shared" ca="1" si="75"/>
        <v>2</v>
      </c>
      <c r="F695" s="8">
        <f t="shared" ca="1" si="76"/>
        <v>4</v>
      </c>
      <c r="G695" s="14">
        <f t="shared" ca="1" si="77"/>
        <v>0.95795479608272693</v>
      </c>
      <c r="H695" s="8">
        <f t="shared" ca="1" si="78"/>
        <v>18</v>
      </c>
    </row>
    <row r="696" spans="1:8">
      <c r="A696" s="8">
        <v>691</v>
      </c>
      <c r="B696" s="9">
        <f t="shared" ca="1" si="72"/>
        <v>0.67203698607680118</v>
      </c>
      <c r="C696" s="10" t="str">
        <f t="shared" ca="1" si="73"/>
        <v>Carrito</v>
      </c>
      <c r="D696" s="9">
        <f t="shared" ca="1" si="74"/>
        <v>0.9740084126856785</v>
      </c>
      <c r="E696" s="10">
        <f t="shared" ca="1" si="75"/>
        <v>5</v>
      </c>
      <c r="F696" s="10">
        <f t="shared" ca="1" si="76"/>
        <v>1</v>
      </c>
      <c r="G696" s="9">
        <f t="shared" ca="1" si="77"/>
        <v>0.62882798317050448</v>
      </c>
      <c r="H696" s="10">
        <f t="shared" ca="1" si="78"/>
        <v>13</v>
      </c>
    </row>
    <row r="697" spans="1:8">
      <c r="A697" s="8">
        <v>692</v>
      </c>
      <c r="B697" s="14">
        <f t="shared" ca="1" si="72"/>
        <v>0.71252132103365629</v>
      </c>
      <c r="C697" s="8" t="str">
        <f t="shared" ca="1" si="73"/>
        <v>Carrito</v>
      </c>
      <c r="D697" s="14">
        <f t="shared" ca="1" si="74"/>
        <v>0.16645418152590696</v>
      </c>
      <c r="E697" s="8">
        <f t="shared" ca="1" si="75"/>
        <v>1</v>
      </c>
      <c r="F697" s="8">
        <f t="shared" ca="1" si="76"/>
        <v>3</v>
      </c>
      <c r="G697" s="14">
        <f t="shared" ca="1" si="77"/>
        <v>0.50333830186223816</v>
      </c>
      <c r="H697" s="8">
        <f t="shared" ca="1" si="78"/>
        <v>12</v>
      </c>
    </row>
    <row r="698" spans="1:8">
      <c r="A698" s="8">
        <v>693</v>
      </c>
      <c r="B698" s="9">
        <f t="shared" ca="1" si="72"/>
        <v>0.94781806670297253</v>
      </c>
      <c r="C698" s="10" t="str">
        <f t="shared" ca="1" si="73"/>
        <v>Checkout</v>
      </c>
      <c r="D698" s="9">
        <f t="shared" ca="1" si="74"/>
        <v>0.11190430889811009</v>
      </c>
      <c r="E698" s="10">
        <f t="shared" ca="1" si="75"/>
        <v>1</v>
      </c>
      <c r="F698" s="10">
        <f t="shared" ca="1" si="76"/>
        <v>1</v>
      </c>
      <c r="G698" s="9">
        <f t="shared" ca="1" si="77"/>
        <v>0.29844126969448448</v>
      </c>
      <c r="H698" s="10">
        <f t="shared" ca="1" si="78"/>
        <v>10</v>
      </c>
    </row>
    <row r="699" spans="1:8">
      <c r="A699" s="8">
        <v>694</v>
      </c>
      <c r="B699" s="14">
        <f t="shared" ca="1" si="72"/>
        <v>0.42210580073798287</v>
      </c>
      <c r="C699" s="8" t="str">
        <f t="shared" ca="1" si="73"/>
        <v>Navegación</v>
      </c>
      <c r="D699" s="14">
        <f t="shared" ca="1" si="74"/>
        <v>0.89927986629262036</v>
      </c>
      <c r="E699" s="8">
        <f t="shared" ca="1" si="75"/>
        <v>5</v>
      </c>
      <c r="F699" s="8">
        <f t="shared" ca="1" si="76"/>
        <v>4</v>
      </c>
      <c r="G699" s="14">
        <f t="shared" ca="1" si="77"/>
        <v>0.62190185787421992</v>
      </c>
      <c r="H699" s="8">
        <f t="shared" ca="1" si="78"/>
        <v>13</v>
      </c>
    </row>
    <row r="700" spans="1:8">
      <c r="A700" s="8">
        <v>695</v>
      </c>
      <c r="B700" s="9">
        <f t="shared" ca="1" si="72"/>
        <v>0.1790322779243958</v>
      </c>
      <c r="C700" s="10" t="str">
        <f t="shared" ca="1" si="73"/>
        <v>Navegación</v>
      </c>
      <c r="D700" s="9">
        <f t="shared" ca="1" si="74"/>
        <v>0.81997031360853179</v>
      </c>
      <c r="E700" s="10">
        <f t="shared" ca="1" si="75"/>
        <v>5</v>
      </c>
      <c r="F700" s="10">
        <f t="shared" ca="1" si="76"/>
        <v>4</v>
      </c>
      <c r="G700" s="9">
        <f t="shared" ca="1" si="77"/>
        <v>0.18896443393572626</v>
      </c>
      <c r="H700" s="10">
        <f t="shared" ca="1" si="78"/>
        <v>9</v>
      </c>
    </row>
    <row r="701" spans="1:8">
      <c r="A701" s="8">
        <v>696</v>
      </c>
      <c r="B701" s="14">
        <f t="shared" ca="1" si="72"/>
        <v>0.83947439137394564</v>
      </c>
      <c r="C701" s="8" t="str">
        <f t="shared" ca="1" si="73"/>
        <v>Carrito</v>
      </c>
      <c r="D701" s="14">
        <f t="shared" ca="1" si="74"/>
        <v>0.17431165215762645</v>
      </c>
      <c r="E701" s="8">
        <f t="shared" ca="1" si="75"/>
        <v>1</v>
      </c>
      <c r="F701" s="8">
        <f t="shared" ca="1" si="76"/>
        <v>1</v>
      </c>
      <c r="G701" s="14">
        <f t="shared" ca="1" si="77"/>
        <v>0.5035768753201999</v>
      </c>
      <c r="H701" s="8">
        <f t="shared" ca="1" si="78"/>
        <v>12</v>
      </c>
    </row>
    <row r="702" spans="1:8">
      <c r="A702" s="8">
        <v>697</v>
      </c>
      <c r="B702" s="9">
        <f t="shared" ca="1" si="72"/>
        <v>0.69746676753427894</v>
      </c>
      <c r="C702" s="10" t="str">
        <f t="shared" ca="1" si="73"/>
        <v>Carrito</v>
      </c>
      <c r="D702" s="9">
        <f t="shared" ca="1" si="74"/>
        <v>0.16955329616693138</v>
      </c>
      <c r="E702" s="10">
        <f t="shared" ca="1" si="75"/>
        <v>1</v>
      </c>
      <c r="F702" s="10">
        <f t="shared" ca="1" si="76"/>
        <v>5</v>
      </c>
      <c r="G702" s="9">
        <f t="shared" ca="1" si="77"/>
        <v>1.7179521028800937E-2</v>
      </c>
      <c r="H702" s="10">
        <f t="shared" ca="1" si="78"/>
        <v>5</v>
      </c>
    </row>
    <row r="703" spans="1:8">
      <c r="A703" s="8">
        <v>698</v>
      </c>
      <c r="B703" s="14">
        <f t="shared" ca="1" si="72"/>
        <v>0.39800535227098921</v>
      </c>
      <c r="C703" s="8" t="str">
        <f t="shared" ca="1" si="73"/>
        <v>Navegación</v>
      </c>
      <c r="D703" s="14">
        <f t="shared" ca="1" si="74"/>
        <v>0.16336807222267247</v>
      </c>
      <c r="E703" s="8">
        <f t="shared" ca="1" si="75"/>
        <v>1</v>
      </c>
      <c r="F703" s="8">
        <f t="shared" ca="1" si="76"/>
        <v>2</v>
      </c>
      <c r="G703" s="14">
        <f t="shared" ca="1" si="77"/>
        <v>0.73882005595220035</v>
      </c>
      <c r="H703" s="8">
        <f t="shared" ca="1" si="78"/>
        <v>14</v>
      </c>
    </row>
    <row r="704" spans="1:8">
      <c r="A704" s="8">
        <v>699</v>
      </c>
      <c r="B704" s="9">
        <f t="shared" ca="1" si="72"/>
        <v>0.98098302706263263</v>
      </c>
      <c r="C704" s="10" t="str">
        <f t="shared" ca="1" si="73"/>
        <v>Checkout</v>
      </c>
      <c r="D704" s="9">
        <f t="shared" ca="1" si="74"/>
        <v>0.27710022141580692</v>
      </c>
      <c r="E704" s="10">
        <f t="shared" ca="1" si="75"/>
        <v>2</v>
      </c>
      <c r="F704" s="10">
        <f t="shared" ca="1" si="76"/>
        <v>4</v>
      </c>
      <c r="G704" s="9">
        <f t="shared" ca="1" si="77"/>
        <v>0.90199913149541999</v>
      </c>
      <c r="H704" s="10">
        <f t="shared" ca="1" si="78"/>
        <v>17</v>
      </c>
    </row>
    <row r="705" spans="1:8">
      <c r="A705" s="8">
        <v>700</v>
      </c>
      <c r="B705" s="14">
        <f t="shared" ca="1" si="72"/>
        <v>0.20618278100605159</v>
      </c>
      <c r="C705" s="8" t="str">
        <f t="shared" ca="1" si="73"/>
        <v>Navegación</v>
      </c>
      <c r="D705" s="14">
        <f t="shared" ca="1" si="74"/>
        <v>4.6672383373410953E-2</v>
      </c>
      <c r="E705" s="8">
        <f t="shared" ca="1" si="75"/>
        <v>1</v>
      </c>
      <c r="F705" s="8">
        <f t="shared" ca="1" si="76"/>
        <v>3</v>
      </c>
      <c r="G705" s="14">
        <f t="shared" ca="1" si="77"/>
        <v>0.38124597019594653</v>
      </c>
      <c r="H705" s="8">
        <f t="shared" ca="1" si="78"/>
        <v>11</v>
      </c>
    </row>
    <row r="706" spans="1:8">
      <c r="A706" s="8">
        <v>701</v>
      </c>
      <c r="B706" s="9">
        <f t="shared" ca="1" si="72"/>
        <v>0.16913944099827838</v>
      </c>
      <c r="C706" s="10" t="str">
        <f t="shared" ca="1" si="73"/>
        <v>Navegación</v>
      </c>
      <c r="D706" s="9">
        <f t="shared" ca="1" si="74"/>
        <v>0.69765957887519237</v>
      </c>
      <c r="E706" s="10">
        <f t="shared" ca="1" si="75"/>
        <v>4</v>
      </c>
      <c r="F706" s="10">
        <f t="shared" ca="1" si="76"/>
        <v>4</v>
      </c>
      <c r="G706" s="9">
        <f t="shared" ca="1" si="77"/>
        <v>0.39125911531093871</v>
      </c>
      <c r="H706" s="10">
        <f t="shared" ca="1" si="78"/>
        <v>11</v>
      </c>
    </row>
    <row r="707" spans="1:8">
      <c r="A707" s="8">
        <v>702</v>
      </c>
      <c r="B707" s="14">
        <f t="shared" ca="1" si="72"/>
        <v>0.75765692476818414</v>
      </c>
      <c r="C707" s="8" t="str">
        <f t="shared" ca="1" si="73"/>
        <v>Carrito</v>
      </c>
      <c r="D707" s="14">
        <f t="shared" ca="1" si="74"/>
        <v>0.26453441641468933</v>
      </c>
      <c r="E707" s="8">
        <f t="shared" ca="1" si="75"/>
        <v>2</v>
      </c>
      <c r="F707" s="8">
        <f t="shared" ca="1" si="76"/>
        <v>3</v>
      </c>
      <c r="G707" s="14">
        <f t="shared" ca="1" si="77"/>
        <v>0.27992551845138247</v>
      </c>
      <c r="H707" s="8">
        <f t="shared" ca="1" si="78"/>
        <v>10</v>
      </c>
    </row>
    <row r="708" spans="1:8">
      <c r="A708" s="8">
        <v>703</v>
      </c>
      <c r="B708" s="9">
        <f t="shared" ca="1" si="72"/>
        <v>0.74096084254540695</v>
      </c>
      <c r="C708" s="10" t="str">
        <f t="shared" ca="1" si="73"/>
        <v>Carrito</v>
      </c>
      <c r="D708" s="9">
        <f t="shared" ca="1" si="74"/>
        <v>0.39462837794686401</v>
      </c>
      <c r="E708" s="10">
        <f t="shared" ca="1" si="75"/>
        <v>2</v>
      </c>
      <c r="F708" s="10">
        <f t="shared" ca="1" si="76"/>
        <v>4</v>
      </c>
      <c r="G708" s="9">
        <f t="shared" ca="1" si="77"/>
        <v>3.5005382385669304E-2</v>
      </c>
      <c r="H708" s="10">
        <f t="shared" ca="1" si="78"/>
        <v>6</v>
      </c>
    </row>
    <row r="709" spans="1:8">
      <c r="A709" s="8">
        <v>704</v>
      </c>
      <c r="B709" s="14">
        <f t="shared" ca="1" si="72"/>
        <v>0.5434766108306327</v>
      </c>
      <c r="C709" s="8" t="str">
        <f t="shared" ca="1" si="73"/>
        <v>Navegación</v>
      </c>
      <c r="D709" s="14">
        <f t="shared" ca="1" si="74"/>
        <v>0.7561965558649808</v>
      </c>
      <c r="E709" s="8">
        <f t="shared" ca="1" si="75"/>
        <v>4</v>
      </c>
      <c r="F709" s="8">
        <f t="shared" ca="1" si="76"/>
        <v>5</v>
      </c>
      <c r="G709" s="14">
        <f t="shared" ca="1" si="77"/>
        <v>0.91478651415320511</v>
      </c>
      <c r="H709" s="8">
        <f t="shared" ca="1" si="78"/>
        <v>17</v>
      </c>
    </row>
    <row r="710" spans="1:8">
      <c r="A710" s="8">
        <v>705</v>
      </c>
      <c r="B710" s="9">
        <f t="shared" ref="B710:B773" ca="1" si="79">RAND()</f>
        <v>0.87269661500442752</v>
      </c>
      <c r="C710" s="10" t="str">
        <f t="shared" ref="C710:C773" ca="1" si="80">VLOOKUP(B710, $J$6:$K$8, 2, TRUE)</f>
        <v>Checkout</v>
      </c>
      <c r="D710" s="9">
        <f t="shared" ref="D710:D773" ca="1" si="81">RAND()</f>
        <v>0.46527897130002149</v>
      </c>
      <c r="E710" s="10">
        <f t="shared" ref="E710:E773" ca="1" si="82">INT(D710*($O$7-$O$6+1))+$O$6</f>
        <v>3</v>
      </c>
      <c r="F710" s="10">
        <f t="shared" ref="F710:F773" ca="1" si="83">RANDBETWEEN($O$6, $O$7)</f>
        <v>1</v>
      </c>
      <c r="G710" s="9">
        <f t="shared" ref="G710:G773" ca="1" si="84">RAND()</f>
        <v>0.94045290702851048</v>
      </c>
      <c r="H710" s="10">
        <f t="shared" ref="H710:H773" ca="1" si="85">VLOOKUP(G710, $W$5:$X$39, 2, TRUE)</f>
        <v>18</v>
      </c>
    </row>
    <row r="711" spans="1:8">
      <c r="A711" s="8">
        <v>706</v>
      </c>
      <c r="B711" s="14">
        <f t="shared" ca="1" si="79"/>
        <v>0.64668184814188812</v>
      </c>
      <c r="C711" s="8" t="str">
        <f t="shared" ca="1" si="80"/>
        <v>Carrito</v>
      </c>
      <c r="D711" s="14">
        <f t="shared" ca="1" si="81"/>
        <v>0.31319921795605077</v>
      </c>
      <c r="E711" s="8">
        <f t="shared" ca="1" si="82"/>
        <v>2</v>
      </c>
      <c r="F711" s="8">
        <f t="shared" ca="1" si="83"/>
        <v>5</v>
      </c>
      <c r="G711" s="14">
        <f t="shared" ca="1" si="84"/>
        <v>6.4524427136943951E-2</v>
      </c>
      <c r="H711" s="8">
        <f t="shared" ca="1" si="85"/>
        <v>7</v>
      </c>
    </row>
    <row r="712" spans="1:8">
      <c r="A712" s="8">
        <v>707</v>
      </c>
      <c r="B712" s="9">
        <f t="shared" ca="1" si="79"/>
        <v>0.10068919650253938</v>
      </c>
      <c r="C712" s="10" t="str">
        <f t="shared" ca="1" si="80"/>
        <v>Navegación</v>
      </c>
      <c r="D712" s="9">
        <f t="shared" ca="1" si="81"/>
        <v>0.74022841442434661</v>
      </c>
      <c r="E712" s="10">
        <f t="shared" ca="1" si="82"/>
        <v>4</v>
      </c>
      <c r="F712" s="10">
        <f t="shared" ca="1" si="83"/>
        <v>4</v>
      </c>
      <c r="G712" s="9">
        <f t="shared" ca="1" si="84"/>
        <v>0.73472843100314578</v>
      </c>
      <c r="H712" s="10">
        <f t="shared" ca="1" si="85"/>
        <v>14</v>
      </c>
    </row>
    <row r="713" spans="1:8">
      <c r="A713" s="8">
        <v>708</v>
      </c>
      <c r="B713" s="14">
        <f t="shared" ca="1" si="79"/>
        <v>0.79413722928845776</v>
      </c>
      <c r="C713" s="8" t="str">
        <f t="shared" ca="1" si="80"/>
        <v>Carrito</v>
      </c>
      <c r="D713" s="14">
        <f t="shared" ca="1" si="81"/>
        <v>0.68891834717704492</v>
      </c>
      <c r="E713" s="8">
        <f t="shared" ca="1" si="82"/>
        <v>4</v>
      </c>
      <c r="F713" s="8">
        <f t="shared" ca="1" si="83"/>
        <v>1</v>
      </c>
      <c r="G713" s="14">
        <f t="shared" ca="1" si="84"/>
        <v>0.8730636533552687</v>
      </c>
      <c r="H713" s="8">
        <f t="shared" ca="1" si="85"/>
        <v>16</v>
      </c>
    </row>
    <row r="714" spans="1:8">
      <c r="A714" s="8">
        <v>709</v>
      </c>
      <c r="B714" s="9">
        <f t="shared" ca="1" si="79"/>
        <v>0.12678915143173664</v>
      </c>
      <c r="C714" s="10" t="str">
        <f t="shared" ca="1" si="80"/>
        <v>Navegación</v>
      </c>
      <c r="D714" s="9">
        <f t="shared" ca="1" si="81"/>
        <v>0.92302618816560156</v>
      </c>
      <c r="E714" s="10">
        <f t="shared" ca="1" si="82"/>
        <v>5</v>
      </c>
      <c r="F714" s="10">
        <f t="shared" ca="1" si="83"/>
        <v>1</v>
      </c>
      <c r="G714" s="9">
        <f t="shared" ca="1" si="84"/>
        <v>0.3971268551391941</v>
      </c>
      <c r="H714" s="10">
        <f t="shared" ca="1" si="85"/>
        <v>11</v>
      </c>
    </row>
    <row r="715" spans="1:8">
      <c r="A715" s="8">
        <v>710</v>
      </c>
      <c r="B715" s="14">
        <f t="shared" ca="1" si="79"/>
        <v>0.50810353988820856</v>
      </c>
      <c r="C715" s="8" t="str">
        <f t="shared" ca="1" si="80"/>
        <v>Navegación</v>
      </c>
      <c r="D715" s="14">
        <f t="shared" ca="1" si="81"/>
        <v>0.3835003808551749</v>
      </c>
      <c r="E715" s="8">
        <f t="shared" ca="1" si="82"/>
        <v>2</v>
      </c>
      <c r="F715" s="8">
        <f t="shared" ca="1" si="83"/>
        <v>1</v>
      </c>
      <c r="G715" s="14">
        <f t="shared" ca="1" si="84"/>
        <v>0.58403240058011863</v>
      </c>
      <c r="H715" s="8">
        <f t="shared" ca="1" si="85"/>
        <v>13</v>
      </c>
    </row>
    <row r="716" spans="1:8">
      <c r="A716" s="8">
        <v>711</v>
      </c>
      <c r="B716" s="9">
        <f t="shared" ca="1" si="79"/>
        <v>3.4386008910131216E-2</v>
      </c>
      <c r="C716" s="10" t="str">
        <f t="shared" ca="1" si="80"/>
        <v>Navegación</v>
      </c>
      <c r="D716" s="9">
        <f t="shared" ca="1" si="81"/>
        <v>8.2085997752733175E-2</v>
      </c>
      <c r="E716" s="10">
        <f t="shared" ca="1" si="82"/>
        <v>1</v>
      </c>
      <c r="F716" s="10">
        <f t="shared" ca="1" si="83"/>
        <v>2</v>
      </c>
      <c r="G716" s="9">
        <f t="shared" ca="1" si="84"/>
        <v>0.15374277377546919</v>
      </c>
      <c r="H716" s="10">
        <f t="shared" ca="1" si="85"/>
        <v>8</v>
      </c>
    </row>
    <row r="717" spans="1:8">
      <c r="A717" s="8">
        <v>712</v>
      </c>
      <c r="B717" s="14">
        <f t="shared" ca="1" si="79"/>
        <v>0.80587841322752052</v>
      </c>
      <c r="C717" s="8" t="str">
        <f t="shared" ca="1" si="80"/>
        <v>Carrito</v>
      </c>
      <c r="D717" s="14">
        <f t="shared" ca="1" si="81"/>
        <v>0.44847473881068223</v>
      </c>
      <c r="E717" s="8">
        <f t="shared" ca="1" si="82"/>
        <v>3</v>
      </c>
      <c r="F717" s="8">
        <f t="shared" ca="1" si="83"/>
        <v>3</v>
      </c>
      <c r="G717" s="14">
        <f t="shared" ca="1" si="84"/>
        <v>0.25950907971417214</v>
      </c>
      <c r="H717" s="8">
        <f t="shared" ca="1" si="85"/>
        <v>10</v>
      </c>
    </row>
    <row r="718" spans="1:8">
      <c r="A718" s="8">
        <v>713</v>
      </c>
      <c r="B718" s="9">
        <f t="shared" ca="1" si="79"/>
        <v>0.5353072943001288</v>
      </c>
      <c r="C718" s="10" t="str">
        <f t="shared" ca="1" si="80"/>
        <v>Navegación</v>
      </c>
      <c r="D718" s="9">
        <f t="shared" ca="1" si="81"/>
        <v>0.35233265882191855</v>
      </c>
      <c r="E718" s="10">
        <f t="shared" ca="1" si="82"/>
        <v>2</v>
      </c>
      <c r="F718" s="10">
        <f t="shared" ca="1" si="83"/>
        <v>1</v>
      </c>
      <c r="G718" s="9">
        <f t="shared" ca="1" si="84"/>
        <v>0.82095984999256111</v>
      </c>
      <c r="H718" s="10">
        <f t="shared" ca="1" si="85"/>
        <v>15</v>
      </c>
    </row>
    <row r="719" spans="1:8">
      <c r="A719" s="8">
        <v>714</v>
      </c>
      <c r="B719" s="14">
        <f t="shared" ca="1" si="79"/>
        <v>0.40553324979940997</v>
      </c>
      <c r="C719" s="8" t="str">
        <f t="shared" ca="1" si="80"/>
        <v>Navegación</v>
      </c>
      <c r="D719" s="14">
        <f t="shared" ca="1" si="81"/>
        <v>0.27692378732073308</v>
      </c>
      <c r="E719" s="8">
        <f t="shared" ca="1" si="82"/>
        <v>2</v>
      </c>
      <c r="F719" s="8">
        <f t="shared" ca="1" si="83"/>
        <v>1</v>
      </c>
      <c r="G719" s="14">
        <f t="shared" ca="1" si="84"/>
        <v>0.5945580416557803</v>
      </c>
      <c r="H719" s="8">
        <f t="shared" ca="1" si="85"/>
        <v>13</v>
      </c>
    </row>
    <row r="720" spans="1:8">
      <c r="A720" s="8">
        <v>715</v>
      </c>
      <c r="B720" s="9">
        <f t="shared" ca="1" si="79"/>
        <v>0.80710798548833829</v>
      </c>
      <c r="C720" s="10" t="str">
        <f t="shared" ca="1" si="80"/>
        <v>Carrito</v>
      </c>
      <c r="D720" s="9">
        <f t="shared" ca="1" si="81"/>
        <v>0.57944040236511196</v>
      </c>
      <c r="E720" s="10">
        <f t="shared" ca="1" si="82"/>
        <v>3</v>
      </c>
      <c r="F720" s="10">
        <f t="shared" ca="1" si="83"/>
        <v>5</v>
      </c>
      <c r="G720" s="9">
        <f t="shared" ca="1" si="84"/>
        <v>0.84886765669070052</v>
      </c>
      <c r="H720" s="10">
        <f t="shared" ca="1" si="85"/>
        <v>16</v>
      </c>
    </row>
    <row r="721" spans="1:8">
      <c r="A721" s="8">
        <v>716</v>
      </c>
      <c r="B721" s="14">
        <f t="shared" ca="1" si="79"/>
        <v>0.16060410581653239</v>
      </c>
      <c r="C721" s="8" t="str">
        <f t="shared" ca="1" si="80"/>
        <v>Navegación</v>
      </c>
      <c r="D721" s="14">
        <f t="shared" ca="1" si="81"/>
        <v>0.35443143548051459</v>
      </c>
      <c r="E721" s="8">
        <f t="shared" ca="1" si="82"/>
        <v>2</v>
      </c>
      <c r="F721" s="8">
        <f t="shared" ca="1" si="83"/>
        <v>2</v>
      </c>
      <c r="G721" s="14">
        <f t="shared" ca="1" si="84"/>
        <v>0.3421793362156198</v>
      </c>
      <c r="H721" s="8">
        <f t="shared" ca="1" si="85"/>
        <v>10</v>
      </c>
    </row>
    <row r="722" spans="1:8">
      <c r="A722" s="8">
        <v>717</v>
      </c>
      <c r="B722" s="9">
        <f t="shared" ca="1" si="79"/>
        <v>8.9334656630706832E-2</v>
      </c>
      <c r="C722" s="10" t="str">
        <f t="shared" ca="1" si="80"/>
        <v>Navegación</v>
      </c>
      <c r="D722" s="9">
        <f t="shared" ca="1" si="81"/>
        <v>0.74905965826736443</v>
      </c>
      <c r="E722" s="10">
        <f t="shared" ca="1" si="82"/>
        <v>4</v>
      </c>
      <c r="F722" s="10">
        <f t="shared" ca="1" si="83"/>
        <v>1</v>
      </c>
      <c r="G722" s="9">
        <f t="shared" ca="1" si="84"/>
        <v>0.42262937024176994</v>
      </c>
      <c r="H722" s="10">
        <f t="shared" ca="1" si="85"/>
        <v>11</v>
      </c>
    </row>
    <row r="723" spans="1:8">
      <c r="A723" s="8">
        <v>718</v>
      </c>
      <c r="B723" s="14">
        <f t="shared" ca="1" si="79"/>
        <v>0.29614968786179618</v>
      </c>
      <c r="C723" s="8" t="str">
        <f t="shared" ca="1" si="80"/>
        <v>Navegación</v>
      </c>
      <c r="D723" s="14">
        <f t="shared" ca="1" si="81"/>
        <v>0.81828975342445143</v>
      </c>
      <c r="E723" s="8">
        <f t="shared" ca="1" si="82"/>
        <v>5</v>
      </c>
      <c r="F723" s="8">
        <f t="shared" ca="1" si="83"/>
        <v>5</v>
      </c>
      <c r="G723" s="14">
        <f t="shared" ca="1" si="84"/>
        <v>0.65538224860147087</v>
      </c>
      <c r="H723" s="8">
        <f t="shared" ca="1" si="85"/>
        <v>13</v>
      </c>
    </row>
    <row r="724" spans="1:8">
      <c r="A724" s="8">
        <v>719</v>
      </c>
      <c r="B724" s="9">
        <f t="shared" ca="1" si="79"/>
        <v>0.38320298710037237</v>
      </c>
      <c r="C724" s="10" t="str">
        <f t="shared" ca="1" si="80"/>
        <v>Navegación</v>
      </c>
      <c r="D724" s="9">
        <f t="shared" ca="1" si="81"/>
        <v>6.4181821860764598E-2</v>
      </c>
      <c r="E724" s="10">
        <f t="shared" ca="1" si="82"/>
        <v>1</v>
      </c>
      <c r="F724" s="10">
        <f t="shared" ca="1" si="83"/>
        <v>5</v>
      </c>
      <c r="G724" s="9">
        <f t="shared" ca="1" si="84"/>
        <v>0.58999209624010684</v>
      </c>
      <c r="H724" s="10">
        <f t="shared" ca="1" si="85"/>
        <v>13</v>
      </c>
    </row>
    <row r="725" spans="1:8">
      <c r="A725" s="8">
        <v>720</v>
      </c>
      <c r="B725" s="14">
        <f t="shared" ca="1" si="79"/>
        <v>0.93919796165258018</v>
      </c>
      <c r="C725" s="8" t="str">
        <f t="shared" ca="1" si="80"/>
        <v>Checkout</v>
      </c>
      <c r="D725" s="14">
        <f t="shared" ca="1" si="81"/>
        <v>0.94176356829097452</v>
      </c>
      <c r="E725" s="8">
        <f t="shared" ca="1" si="82"/>
        <v>5</v>
      </c>
      <c r="F725" s="8">
        <f t="shared" ca="1" si="83"/>
        <v>1</v>
      </c>
      <c r="G725" s="14">
        <f t="shared" ca="1" si="84"/>
        <v>0.27719429443031418</v>
      </c>
      <c r="H725" s="8">
        <f t="shared" ca="1" si="85"/>
        <v>10</v>
      </c>
    </row>
    <row r="726" spans="1:8">
      <c r="A726" s="8">
        <v>721</v>
      </c>
      <c r="B726" s="9">
        <f t="shared" ca="1" si="79"/>
        <v>0.13999613402164146</v>
      </c>
      <c r="C726" s="10" t="str">
        <f t="shared" ca="1" si="80"/>
        <v>Navegación</v>
      </c>
      <c r="D726" s="9">
        <f t="shared" ca="1" si="81"/>
        <v>0.51596817535847206</v>
      </c>
      <c r="E726" s="10">
        <f t="shared" ca="1" si="82"/>
        <v>3</v>
      </c>
      <c r="F726" s="10">
        <f t="shared" ca="1" si="83"/>
        <v>4</v>
      </c>
      <c r="G726" s="9">
        <f t="shared" ca="1" si="84"/>
        <v>1.4914072283219948E-2</v>
      </c>
      <c r="H726" s="10">
        <f t="shared" ca="1" si="85"/>
        <v>5</v>
      </c>
    </row>
    <row r="727" spans="1:8">
      <c r="A727" s="8">
        <v>722</v>
      </c>
      <c r="B727" s="14">
        <f t="shared" ca="1" si="79"/>
        <v>3.5673643147071665E-3</v>
      </c>
      <c r="C727" s="8" t="str">
        <f t="shared" ca="1" si="80"/>
        <v>Navegación</v>
      </c>
      <c r="D727" s="14">
        <f t="shared" ca="1" si="81"/>
        <v>0.11024271498981775</v>
      </c>
      <c r="E727" s="8">
        <f t="shared" ca="1" si="82"/>
        <v>1</v>
      </c>
      <c r="F727" s="8">
        <f t="shared" ca="1" si="83"/>
        <v>4</v>
      </c>
      <c r="G727" s="14">
        <f t="shared" ca="1" si="84"/>
        <v>0.13460206554987986</v>
      </c>
      <c r="H727" s="8">
        <f t="shared" ca="1" si="85"/>
        <v>8</v>
      </c>
    </row>
    <row r="728" spans="1:8">
      <c r="A728" s="8">
        <v>723</v>
      </c>
      <c r="B728" s="9">
        <f t="shared" ca="1" si="79"/>
        <v>0.82023011682620117</v>
      </c>
      <c r="C728" s="10" t="str">
        <f t="shared" ca="1" si="80"/>
        <v>Carrito</v>
      </c>
      <c r="D728" s="9">
        <f t="shared" ca="1" si="81"/>
        <v>0.87474443256647139</v>
      </c>
      <c r="E728" s="10">
        <f t="shared" ca="1" si="82"/>
        <v>5</v>
      </c>
      <c r="F728" s="10">
        <f t="shared" ca="1" si="83"/>
        <v>5</v>
      </c>
      <c r="G728" s="9">
        <f t="shared" ca="1" si="84"/>
        <v>0.50586775608896639</v>
      </c>
      <c r="H728" s="10">
        <f t="shared" ca="1" si="85"/>
        <v>12</v>
      </c>
    </row>
    <row r="729" spans="1:8">
      <c r="A729" s="8">
        <v>724</v>
      </c>
      <c r="B729" s="14">
        <f t="shared" ca="1" si="79"/>
        <v>0.58363303984720882</v>
      </c>
      <c r="C729" s="8" t="str">
        <f t="shared" ca="1" si="80"/>
        <v>Carrito</v>
      </c>
      <c r="D729" s="14">
        <f t="shared" ca="1" si="81"/>
        <v>0.77535536145384854</v>
      </c>
      <c r="E729" s="8">
        <f t="shared" ca="1" si="82"/>
        <v>4</v>
      </c>
      <c r="F729" s="8">
        <f t="shared" ca="1" si="83"/>
        <v>1</v>
      </c>
      <c r="G729" s="14">
        <f t="shared" ca="1" si="84"/>
        <v>0.4148339736580412</v>
      </c>
      <c r="H729" s="8">
        <f t="shared" ca="1" si="85"/>
        <v>11</v>
      </c>
    </row>
    <row r="730" spans="1:8">
      <c r="A730" s="8">
        <v>725</v>
      </c>
      <c r="B730" s="9">
        <f t="shared" ca="1" si="79"/>
        <v>0.62438145847381932</v>
      </c>
      <c r="C730" s="10" t="str">
        <f t="shared" ca="1" si="80"/>
        <v>Carrito</v>
      </c>
      <c r="D730" s="9">
        <f t="shared" ca="1" si="81"/>
        <v>0.88030217069015548</v>
      </c>
      <c r="E730" s="10">
        <f t="shared" ca="1" si="82"/>
        <v>5</v>
      </c>
      <c r="F730" s="10">
        <f t="shared" ca="1" si="83"/>
        <v>4</v>
      </c>
      <c r="G730" s="9">
        <f t="shared" ca="1" si="84"/>
        <v>0.42078400373872571</v>
      </c>
      <c r="H730" s="10">
        <f t="shared" ca="1" si="85"/>
        <v>11</v>
      </c>
    </row>
    <row r="731" spans="1:8">
      <c r="A731" s="8">
        <v>726</v>
      </c>
      <c r="B731" s="14">
        <f t="shared" ca="1" si="79"/>
        <v>0.27805391019313641</v>
      </c>
      <c r="C731" s="8" t="str">
        <f t="shared" ca="1" si="80"/>
        <v>Navegación</v>
      </c>
      <c r="D731" s="14">
        <f t="shared" ca="1" si="81"/>
        <v>0.36267612742769983</v>
      </c>
      <c r="E731" s="8">
        <f t="shared" ca="1" si="82"/>
        <v>2</v>
      </c>
      <c r="F731" s="8">
        <f t="shared" ca="1" si="83"/>
        <v>4</v>
      </c>
      <c r="G731" s="14">
        <f t="shared" ca="1" si="84"/>
        <v>9.0544418921049696E-2</v>
      </c>
      <c r="H731" s="8">
        <f t="shared" ca="1" si="85"/>
        <v>8</v>
      </c>
    </row>
    <row r="732" spans="1:8">
      <c r="A732" s="8">
        <v>727</v>
      </c>
      <c r="B732" s="9">
        <f t="shared" ca="1" si="79"/>
        <v>0.37541632932733549</v>
      </c>
      <c r="C732" s="10" t="str">
        <f t="shared" ca="1" si="80"/>
        <v>Navegación</v>
      </c>
      <c r="D732" s="9">
        <f t="shared" ca="1" si="81"/>
        <v>0.64858134979735693</v>
      </c>
      <c r="E732" s="10">
        <f t="shared" ca="1" si="82"/>
        <v>4</v>
      </c>
      <c r="F732" s="10">
        <f t="shared" ca="1" si="83"/>
        <v>1</v>
      </c>
      <c r="G732" s="9">
        <f t="shared" ca="1" si="84"/>
        <v>0.7534789527866762</v>
      </c>
      <c r="H732" s="10">
        <f t="shared" ca="1" si="85"/>
        <v>14</v>
      </c>
    </row>
    <row r="733" spans="1:8">
      <c r="A733" s="8">
        <v>728</v>
      </c>
      <c r="B733" s="14">
        <f t="shared" ca="1" si="79"/>
        <v>0.65594608151168921</v>
      </c>
      <c r="C733" s="8" t="str">
        <f t="shared" ca="1" si="80"/>
        <v>Carrito</v>
      </c>
      <c r="D733" s="14">
        <f t="shared" ca="1" si="81"/>
        <v>0.16382288241871601</v>
      </c>
      <c r="E733" s="8">
        <f t="shared" ca="1" si="82"/>
        <v>1</v>
      </c>
      <c r="F733" s="8">
        <f t="shared" ca="1" si="83"/>
        <v>4</v>
      </c>
      <c r="G733" s="14">
        <f t="shared" ca="1" si="84"/>
        <v>0.81117580479699924</v>
      </c>
      <c r="H733" s="8">
        <f t="shared" ca="1" si="85"/>
        <v>15</v>
      </c>
    </row>
    <row r="734" spans="1:8">
      <c r="A734" s="8">
        <v>729</v>
      </c>
      <c r="B734" s="9">
        <f t="shared" ca="1" si="79"/>
        <v>0.3262571178047442</v>
      </c>
      <c r="C734" s="10" t="str">
        <f t="shared" ca="1" si="80"/>
        <v>Navegación</v>
      </c>
      <c r="D734" s="9">
        <f t="shared" ca="1" si="81"/>
        <v>0.65930308921993763</v>
      </c>
      <c r="E734" s="10">
        <f t="shared" ca="1" si="82"/>
        <v>4</v>
      </c>
      <c r="F734" s="10">
        <f t="shared" ca="1" si="83"/>
        <v>2</v>
      </c>
      <c r="G734" s="9">
        <f t="shared" ca="1" si="84"/>
        <v>0.38953653869741856</v>
      </c>
      <c r="H734" s="10">
        <f t="shared" ca="1" si="85"/>
        <v>11</v>
      </c>
    </row>
    <row r="735" spans="1:8">
      <c r="A735" s="8">
        <v>730</v>
      </c>
      <c r="B735" s="14">
        <f t="shared" ca="1" si="79"/>
        <v>0.18152203919447218</v>
      </c>
      <c r="C735" s="8" t="str">
        <f t="shared" ca="1" si="80"/>
        <v>Navegación</v>
      </c>
      <c r="D735" s="14">
        <f t="shared" ca="1" si="81"/>
        <v>0.20137146764049119</v>
      </c>
      <c r="E735" s="8">
        <f t="shared" ca="1" si="82"/>
        <v>2</v>
      </c>
      <c r="F735" s="8">
        <f t="shared" ca="1" si="83"/>
        <v>2</v>
      </c>
      <c r="G735" s="14">
        <f t="shared" ca="1" si="84"/>
        <v>0.22395658659338658</v>
      </c>
      <c r="H735" s="8">
        <f t="shared" ca="1" si="85"/>
        <v>9</v>
      </c>
    </row>
    <row r="736" spans="1:8">
      <c r="A736" s="8">
        <v>731</v>
      </c>
      <c r="B736" s="9">
        <f t="shared" ca="1" si="79"/>
        <v>0.42734937789754845</v>
      </c>
      <c r="C736" s="10" t="str">
        <f t="shared" ca="1" si="80"/>
        <v>Navegación</v>
      </c>
      <c r="D736" s="9">
        <f t="shared" ca="1" si="81"/>
        <v>1.0718924878952985E-3</v>
      </c>
      <c r="E736" s="10">
        <f t="shared" ca="1" si="82"/>
        <v>1</v>
      </c>
      <c r="F736" s="10">
        <f t="shared" ca="1" si="83"/>
        <v>3</v>
      </c>
      <c r="G736" s="9">
        <f t="shared" ca="1" si="84"/>
        <v>0.85189251965798052</v>
      </c>
      <c r="H736" s="10">
        <f t="shared" ca="1" si="85"/>
        <v>16</v>
      </c>
    </row>
    <row r="737" spans="1:8">
      <c r="A737" s="8">
        <v>732</v>
      </c>
      <c r="B737" s="14">
        <f t="shared" ca="1" si="79"/>
        <v>0.92547674979414185</v>
      </c>
      <c r="C737" s="8" t="str">
        <f t="shared" ca="1" si="80"/>
        <v>Checkout</v>
      </c>
      <c r="D737" s="14">
        <f t="shared" ca="1" si="81"/>
        <v>0.30255237063450702</v>
      </c>
      <c r="E737" s="8">
        <f t="shared" ca="1" si="82"/>
        <v>2</v>
      </c>
      <c r="F737" s="8">
        <f t="shared" ca="1" si="83"/>
        <v>1</v>
      </c>
      <c r="G737" s="14">
        <f t="shared" ca="1" si="84"/>
        <v>0.35995442850797976</v>
      </c>
      <c r="H737" s="8">
        <f t="shared" ca="1" si="85"/>
        <v>11</v>
      </c>
    </row>
    <row r="738" spans="1:8">
      <c r="A738" s="8">
        <v>733</v>
      </c>
      <c r="B738" s="9">
        <f t="shared" ca="1" si="79"/>
        <v>0.4401774529065301</v>
      </c>
      <c r="C738" s="10" t="str">
        <f t="shared" ca="1" si="80"/>
        <v>Navegación</v>
      </c>
      <c r="D738" s="9">
        <f t="shared" ca="1" si="81"/>
        <v>0.361542470860575</v>
      </c>
      <c r="E738" s="10">
        <f t="shared" ca="1" si="82"/>
        <v>2</v>
      </c>
      <c r="F738" s="10">
        <f t="shared" ca="1" si="83"/>
        <v>3</v>
      </c>
      <c r="G738" s="9">
        <f t="shared" ca="1" si="84"/>
        <v>0.59347051208579171</v>
      </c>
      <c r="H738" s="10">
        <f t="shared" ca="1" si="85"/>
        <v>13</v>
      </c>
    </row>
    <row r="739" spans="1:8">
      <c r="A739" s="8">
        <v>734</v>
      </c>
      <c r="B739" s="14">
        <f t="shared" ca="1" si="79"/>
        <v>1.4496693035082386E-2</v>
      </c>
      <c r="C739" s="8" t="str">
        <f t="shared" ca="1" si="80"/>
        <v>Navegación</v>
      </c>
      <c r="D739" s="14">
        <f t="shared" ca="1" si="81"/>
        <v>0.90376740972827485</v>
      </c>
      <c r="E739" s="8">
        <f t="shared" ca="1" si="82"/>
        <v>5</v>
      </c>
      <c r="F739" s="8">
        <f t="shared" ca="1" si="83"/>
        <v>3</v>
      </c>
      <c r="G739" s="14">
        <f t="shared" ca="1" si="84"/>
        <v>0.52247872303064569</v>
      </c>
      <c r="H739" s="8">
        <f t="shared" ca="1" si="85"/>
        <v>12</v>
      </c>
    </row>
    <row r="740" spans="1:8">
      <c r="A740" s="8">
        <v>735</v>
      </c>
      <c r="B740" s="9">
        <f t="shared" ca="1" si="79"/>
        <v>0.36033193996574486</v>
      </c>
      <c r="C740" s="10" t="str">
        <f t="shared" ca="1" si="80"/>
        <v>Navegación</v>
      </c>
      <c r="D740" s="9">
        <f t="shared" ca="1" si="81"/>
        <v>0.23094400524877201</v>
      </c>
      <c r="E740" s="10">
        <f t="shared" ca="1" si="82"/>
        <v>2</v>
      </c>
      <c r="F740" s="10">
        <f t="shared" ca="1" si="83"/>
        <v>1</v>
      </c>
      <c r="G740" s="9">
        <f t="shared" ca="1" si="84"/>
        <v>0.46306897493952692</v>
      </c>
      <c r="H740" s="10">
        <f t="shared" ca="1" si="85"/>
        <v>12</v>
      </c>
    </row>
    <row r="741" spans="1:8">
      <c r="A741" s="8">
        <v>736</v>
      </c>
      <c r="B741" s="14">
        <f t="shared" ca="1" si="79"/>
        <v>0.27521702824904914</v>
      </c>
      <c r="C741" s="8" t="str">
        <f t="shared" ca="1" si="80"/>
        <v>Navegación</v>
      </c>
      <c r="D741" s="14">
        <f t="shared" ca="1" si="81"/>
        <v>0.71567641147177441</v>
      </c>
      <c r="E741" s="8">
        <f t="shared" ca="1" si="82"/>
        <v>4</v>
      </c>
      <c r="F741" s="8">
        <f t="shared" ca="1" si="83"/>
        <v>2</v>
      </c>
      <c r="G741" s="14">
        <f t="shared" ca="1" si="84"/>
        <v>0.81069173655810844</v>
      </c>
      <c r="H741" s="8">
        <f t="shared" ca="1" si="85"/>
        <v>15</v>
      </c>
    </row>
    <row r="742" spans="1:8">
      <c r="A742" s="8">
        <v>737</v>
      </c>
      <c r="B742" s="9">
        <f t="shared" ca="1" si="79"/>
        <v>0.64498111891145016</v>
      </c>
      <c r="C742" s="10" t="str">
        <f t="shared" ca="1" si="80"/>
        <v>Carrito</v>
      </c>
      <c r="D742" s="9">
        <f t="shared" ca="1" si="81"/>
        <v>0.71245173613412494</v>
      </c>
      <c r="E742" s="10">
        <f t="shared" ca="1" si="82"/>
        <v>4</v>
      </c>
      <c r="F742" s="10">
        <f t="shared" ca="1" si="83"/>
        <v>5</v>
      </c>
      <c r="G742" s="9">
        <f t="shared" ca="1" si="84"/>
        <v>0.33267613353905789</v>
      </c>
      <c r="H742" s="10">
        <f t="shared" ca="1" si="85"/>
        <v>10</v>
      </c>
    </row>
    <row r="743" spans="1:8">
      <c r="A743" s="8">
        <v>738</v>
      </c>
      <c r="B743" s="14">
        <f t="shared" ca="1" si="79"/>
        <v>0.34704916767741734</v>
      </c>
      <c r="C743" s="8" t="str">
        <f t="shared" ca="1" si="80"/>
        <v>Navegación</v>
      </c>
      <c r="D743" s="14">
        <f t="shared" ca="1" si="81"/>
        <v>0.7126191290957411</v>
      </c>
      <c r="E743" s="8">
        <f t="shared" ca="1" si="82"/>
        <v>4</v>
      </c>
      <c r="F743" s="8">
        <f t="shared" ca="1" si="83"/>
        <v>2</v>
      </c>
      <c r="G743" s="14">
        <f t="shared" ca="1" si="84"/>
        <v>0.52400447384227855</v>
      </c>
      <c r="H743" s="8">
        <f t="shared" ca="1" si="85"/>
        <v>12</v>
      </c>
    </row>
    <row r="744" spans="1:8">
      <c r="A744" s="8">
        <v>739</v>
      </c>
      <c r="B744" s="9">
        <f t="shared" ca="1" si="79"/>
        <v>0.51979865356648491</v>
      </c>
      <c r="C744" s="10" t="str">
        <f t="shared" ca="1" si="80"/>
        <v>Navegación</v>
      </c>
      <c r="D744" s="9">
        <f t="shared" ca="1" si="81"/>
        <v>0.77781775243529394</v>
      </c>
      <c r="E744" s="10">
        <f t="shared" ca="1" si="82"/>
        <v>4</v>
      </c>
      <c r="F744" s="10">
        <f t="shared" ca="1" si="83"/>
        <v>4</v>
      </c>
      <c r="G744" s="9">
        <f t="shared" ca="1" si="84"/>
        <v>0.28900070547297319</v>
      </c>
      <c r="H744" s="10">
        <f t="shared" ca="1" si="85"/>
        <v>10</v>
      </c>
    </row>
    <row r="745" spans="1:8">
      <c r="A745" s="8">
        <v>740</v>
      </c>
      <c r="B745" s="14">
        <f t="shared" ca="1" si="79"/>
        <v>0.83501167401326271</v>
      </c>
      <c r="C745" s="8" t="str">
        <f t="shared" ca="1" si="80"/>
        <v>Carrito</v>
      </c>
      <c r="D745" s="14">
        <f t="shared" ca="1" si="81"/>
        <v>0.18728919399833865</v>
      </c>
      <c r="E745" s="8">
        <f t="shared" ca="1" si="82"/>
        <v>1</v>
      </c>
      <c r="F745" s="8">
        <f t="shared" ca="1" si="83"/>
        <v>1</v>
      </c>
      <c r="G745" s="14">
        <f t="shared" ca="1" si="84"/>
        <v>0.32728935355743938</v>
      </c>
      <c r="H745" s="8">
        <f t="shared" ca="1" si="85"/>
        <v>10</v>
      </c>
    </row>
    <row r="746" spans="1:8">
      <c r="A746" s="8">
        <v>741</v>
      </c>
      <c r="B746" s="9">
        <f t="shared" ca="1" si="79"/>
        <v>5.949409735348854E-3</v>
      </c>
      <c r="C746" s="10" t="str">
        <f t="shared" ca="1" si="80"/>
        <v>Navegación</v>
      </c>
      <c r="D746" s="9">
        <f t="shared" ca="1" si="81"/>
        <v>0.92484339797761916</v>
      </c>
      <c r="E746" s="10">
        <f t="shared" ca="1" si="82"/>
        <v>5</v>
      </c>
      <c r="F746" s="10">
        <f t="shared" ca="1" si="83"/>
        <v>4</v>
      </c>
      <c r="G746" s="9">
        <f t="shared" ca="1" si="84"/>
        <v>0.92212011334085164</v>
      </c>
      <c r="H746" s="10">
        <f t="shared" ca="1" si="85"/>
        <v>17</v>
      </c>
    </row>
    <row r="747" spans="1:8">
      <c r="A747" s="8">
        <v>742</v>
      </c>
      <c r="B747" s="14">
        <f t="shared" ca="1" si="79"/>
        <v>0.98704667264445078</v>
      </c>
      <c r="C747" s="8" t="str">
        <f t="shared" ca="1" si="80"/>
        <v>Checkout</v>
      </c>
      <c r="D747" s="14">
        <f t="shared" ca="1" si="81"/>
        <v>0.56705093754876845</v>
      </c>
      <c r="E747" s="8">
        <f t="shared" ca="1" si="82"/>
        <v>3</v>
      </c>
      <c r="F747" s="8">
        <f t="shared" ca="1" si="83"/>
        <v>1</v>
      </c>
      <c r="G747" s="14">
        <f t="shared" ca="1" si="84"/>
        <v>0.89823314906170626</v>
      </c>
      <c r="H747" s="8">
        <f t="shared" ca="1" si="85"/>
        <v>16</v>
      </c>
    </row>
    <row r="748" spans="1:8">
      <c r="A748" s="8">
        <v>743</v>
      </c>
      <c r="B748" s="9">
        <f t="shared" ca="1" si="79"/>
        <v>0.90507667255359592</v>
      </c>
      <c r="C748" s="10" t="str">
        <f t="shared" ca="1" si="80"/>
        <v>Checkout</v>
      </c>
      <c r="D748" s="9">
        <f t="shared" ca="1" si="81"/>
        <v>0.83091517293872375</v>
      </c>
      <c r="E748" s="10">
        <f t="shared" ca="1" si="82"/>
        <v>5</v>
      </c>
      <c r="F748" s="10">
        <f t="shared" ca="1" si="83"/>
        <v>2</v>
      </c>
      <c r="G748" s="9">
        <f t="shared" ca="1" si="84"/>
        <v>0.52418366804291427</v>
      </c>
      <c r="H748" s="10">
        <f t="shared" ca="1" si="85"/>
        <v>12</v>
      </c>
    </row>
    <row r="749" spans="1:8">
      <c r="A749" s="8">
        <v>744</v>
      </c>
      <c r="B749" s="14">
        <f t="shared" ca="1" si="79"/>
        <v>0.29047755929495112</v>
      </c>
      <c r="C749" s="8" t="str">
        <f t="shared" ca="1" si="80"/>
        <v>Navegación</v>
      </c>
      <c r="D749" s="14">
        <f t="shared" ca="1" si="81"/>
        <v>0.83434943220198021</v>
      </c>
      <c r="E749" s="8">
        <f t="shared" ca="1" si="82"/>
        <v>5</v>
      </c>
      <c r="F749" s="8">
        <f t="shared" ca="1" si="83"/>
        <v>2</v>
      </c>
      <c r="G749" s="14">
        <f t="shared" ca="1" si="84"/>
        <v>3.2365723360915921E-2</v>
      </c>
      <c r="H749" s="8">
        <f t="shared" ca="1" si="85"/>
        <v>6</v>
      </c>
    </row>
    <row r="750" spans="1:8">
      <c r="A750" s="8">
        <v>745</v>
      </c>
      <c r="B750" s="9">
        <f t="shared" ca="1" si="79"/>
        <v>0.86527757782227943</v>
      </c>
      <c r="C750" s="10" t="str">
        <f t="shared" ca="1" si="80"/>
        <v>Checkout</v>
      </c>
      <c r="D750" s="9">
        <f t="shared" ca="1" si="81"/>
        <v>0.80990943056705633</v>
      </c>
      <c r="E750" s="10">
        <f t="shared" ca="1" si="82"/>
        <v>5</v>
      </c>
      <c r="F750" s="10">
        <f t="shared" ca="1" si="83"/>
        <v>4</v>
      </c>
      <c r="G750" s="9">
        <f t="shared" ca="1" si="84"/>
        <v>0.29557831344600283</v>
      </c>
      <c r="H750" s="10">
        <f t="shared" ca="1" si="85"/>
        <v>10</v>
      </c>
    </row>
    <row r="751" spans="1:8">
      <c r="A751" s="8">
        <v>746</v>
      </c>
      <c r="B751" s="14">
        <f t="shared" ca="1" si="79"/>
        <v>0.78312812080895655</v>
      </c>
      <c r="C751" s="8" t="str">
        <f t="shared" ca="1" si="80"/>
        <v>Carrito</v>
      </c>
      <c r="D751" s="14">
        <f t="shared" ca="1" si="81"/>
        <v>0.92759219508467206</v>
      </c>
      <c r="E751" s="8">
        <f t="shared" ca="1" si="82"/>
        <v>5</v>
      </c>
      <c r="F751" s="8">
        <f t="shared" ca="1" si="83"/>
        <v>3</v>
      </c>
      <c r="G751" s="14">
        <f t="shared" ca="1" si="84"/>
        <v>0.10704751921000188</v>
      </c>
      <c r="H751" s="8">
        <f t="shared" ca="1" si="85"/>
        <v>8</v>
      </c>
    </row>
    <row r="752" spans="1:8">
      <c r="A752" s="8">
        <v>747</v>
      </c>
      <c r="B752" s="9">
        <f t="shared" ca="1" si="79"/>
        <v>0.36006631815066614</v>
      </c>
      <c r="C752" s="10" t="str">
        <f t="shared" ca="1" si="80"/>
        <v>Navegación</v>
      </c>
      <c r="D752" s="9">
        <f t="shared" ca="1" si="81"/>
        <v>0.86657276043653997</v>
      </c>
      <c r="E752" s="10">
        <f t="shared" ca="1" si="82"/>
        <v>5</v>
      </c>
      <c r="F752" s="10">
        <f t="shared" ca="1" si="83"/>
        <v>2</v>
      </c>
      <c r="G752" s="9">
        <f t="shared" ca="1" si="84"/>
        <v>0.62076861249848703</v>
      </c>
      <c r="H752" s="10">
        <f t="shared" ca="1" si="85"/>
        <v>13</v>
      </c>
    </row>
    <row r="753" spans="1:8">
      <c r="A753" s="8">
        <v>748</v>
      </c>
      <c r="B753" s="14">
        <f t="shared" ca="1" si="79"/>
        <v>0.38961778663630453</v>
      </c>
      <c r="C753" s="8" t="str">
        <f t="shared" ca="1" si="80"/>
        <v>Navegación</v>
      </c>
      <c r="D753" s="14">
        <f t="shared" ca="1" si="81"/>
        <v>0.39101965292169749</v>
      </c>
      <c r="E753" s="8">
        <f t="shared" ca="1" si="82"/>
        <v>2</v>
      </c>
      <c r="F753" s="8">
        <f t="shared" ca="1" si="83"/>
        <v>5</v>
      </c>
      <c r="G753" s="14">
        <f t="shared" ca="1" si="84"/>
        <v>1.679349766260696E-2</v>
      </c>
      <c r="H753" s="8">
        <f t="shared" ca="1" si="85"/>
        <v>5</v>
      </c>
    </row>
    <row r="754" spans="1:8">
      <c r="A754" s="8">
        <v>749</v>
      </c>
      <c r="B754" s="9">
        <f t="shared" ca="1" si="79"/>
        <v>0.59666129929333356</v>
      </c>
      <c r="C754" s="10" t="str">
        <f t="shared" ca="1" si="80"/>
        <v>Carrito</v>
      </c>
      <c r="D754" s="9">
        <f t="shared" ca="1" si="81"/>
        <v>0.84523938547670685</v>
      </c>
      <c r="E754" s="10">
        <f t="shared" ca="1" si="82"/>
        <v>5</v>
      </c>
      <c r="F754" s="10">
        <f t="shared" ca="1" si="83"/>
        <v>1</v>
      </c>
      <c r="G754" s="9">
        <f t="shared" ca="1" si="84"/>
        <v>0.86618188243229999</v>
      </c>
      <c r="H754" s="10">
        <f t="shared" ca="1" si="85"/>
        <v>16</v>
      </c>
    </row>
    <row r="755" spans="1:8">
      <c r="A755" s="8">
        <v>750</v>
      </c>
      <c r="B755" s="14">
        <f t="shared" ca="1" si="79"/>
        <v>0.75033570592844756</v>
      </c>
      <c r="C755" s="8" t="str">
        <f t="shared" ca="1" si="80"/>
        <v>Carrito</v>
      </c>
      <c r="D755" s="14">
        <f t="shared" ca="1" si="81"/>
        <v>0.98009775784510977</v>
      </c>
      <c r="E755" s="8">
        <f t="shared" ca="1" si="82"/>
        <v>5</v>
      </c>
      <c r="F755" s="8">
        <f t="shared" ca="1" si="83"/>
        <v>1</v>
      </c>
      <c r="G755" s="14">
        <f t="shared" ca="1" si="84"/>
        <v>0.14457756862063675</v>
      </c>
      <c r="H755" s="8">
        <f t="shared" ca="1" si="85"/>
        <v>8</v>
      </c>
    </row>
    <row r="756" spans="1:8">
      <c r="A756" s="8">
        <v>751</v>
      </c>
      <c r="B756" s="9">
        <f t="shared" ca="1" si="79"/>
        <v>0.98915741634734566</v>
      </c>
      <c r="C756" s="10" t="str">
        <f t="shared" ca="1" si="80"/>
        <v>Checkout</v>
      </c>
      <c r="D756" s="9">
        <f t="shared" ca="1" si="81"/>
        <v>0.94004546250775423</v>
      </c>
      <c r="E756" s="10">
        <f t="shared" ca="1" si="82"/>
        <v>5</v>
      </c>
      <c r="F756" s="10">
        <f t="shared" ca="1" si="83"/>
        <v>5</v>
      </c>
      <c r="G756" s="9">
        <f t="shared" ca="1" si="84"/>
        <v>6.2118719738939232E-2</v>
      </c>
      <c r="H756" s="10">
        <f t="shared" ca="1" si="85"/>
        <v>7</v>
      </c>
    </row>
    <row r="757" spans="1:8">
      <c r="A757" s="8">
        <v>752</v>
      </c>
      <c r="B757" s="14">
        <f t="shared" ca="1" si="79"/>
        <v>0.66157609963270181</v>
      </c>
      <c r="C757" s="8" t="str">
        <f t="shared" ca="1" si="80"/>
        <v>Carrito</v>
      </c>
      <c r="D757" s="14">
        <f t="shared" ca="1" si="81"/>
        <v>0.74792692963229923</v>
      </c>
      <c r="E757" s="8">
        <f t="shared" ca="1" si="82"/>
        <v>4</v>
      </c>
      <c r="F757" s="8">
        <f t="shared" ca="1" si="83"/>
        <v>1</v>
      </c>
      <c r="G757" s="14">
        <f t="shared" ca="1" si="84"/>
        <v>0.93799943283632503</v>
      </c>
      <c r="H757" s="8">
        <f t="shared" ca="1" si="85"/>
        <v>18</v>
      </c>
    </row>
    <row r="758" spans="1:8">
      <c r="A758" s="8">
        <v>753</v>
      </c>
      <c r="B758" s="9">
        <f t="shared" ca="1" si="79"/>
        <v>0.12193873496865892</v>
      </c>
      <c r="C758" s="10" t="str">
        <f t="shared" ca="1" si="80"/>
        <v>Navegación</v>
      </c>
      <c r="D758" s="9">
        <f t="shared" ca="1" si="81"/>
        <v>4.7448717015316721E-2</v>
      </c>
      <c r="E758" s="10">
        <f t="shared" ca="1" si="82"/>
        <v>1</v>
      </c>
      <c r="F758" s="10">
        <f t="shared" ca="1" si="83"/>
        <v>2</v>
      </c>
      <c r="G758" s="9">
        <f t="shared" ca="1" si="84"/>
        <v>0.42658545382059032</v>
      </c>
      <c r="H758" s="10">
        <f t="shared" ca="1" si="85"/>
        <v>11</v>
      </c>
    </row>
    <row r="759" spans="1:8">
      <c r="A759" s="8">
        <v>754</v>
      </c>
      <c r="B759" s="14">
        <f t="shared" ca="1" si="79"/>
        <v>0.86690618595551083</v>
      </c>
      <c r="C759" s="8" t="str">
        <f t="shared" ca="1" si="80"/>
        <v>Checkout</v>
      </c>
      <c r="D759" s="14">
        <f t="shared" ca="1" si="81"/>
        <v>0.69818572440332771</v>
      </c>
      <c r="E759" s="8">
        <f t="shared" ca="1" si="82"/>
        <v>4</v>
      </c>
      <c r="F759" s="8">
        <f t="shared" ca="1" si="83"/>
        <v>1</v>
      </c>
      <c r="G759" s="14">
        <f t="shared" ca="1" si="84"/>
        <v>0.72012360831555444</v>
      </c>
      <c r="H759" s="8">
        <f t="shared" ca="1" si="85"/>
        <v>14</v>
      </c>
    </row>
    <row r="760" spans="1:8">
      <c r="A760" s="8">
        <v>755</v>
      </c>
      <c r="B760" s="9">
        <f t="shared" ca="1" si="79"/>
        <v>0.92712648958940369</v>
      </c>
      <c r="C760" s="10" t="str">
        <f t="shared" ca="1" si="80"/>
        <v>Checkout</v>
      </c>
      <c r="D760" s="9">
        <f t="shared" ca="1" si="81"/>
        <v>0.38822041948164066</v>
      </c>
      <c r="E760" s="10">
        <f t="shared" ca="1" si="82"/>
        <v>2</v>
      </c>
      <c r="F760" s="10">
        <f t="shared" ca="1" si="83"/>
        <v>5</v>
      </c>
      <c r="G760" s="9">
        <f t="shared" ca="1" si="84"/>
        <v>7.5016935149418984E-4</v>
      </c>
      <c r="H760" s="10">
        <f t="shared" ca="1" si="85"/>
        <v>3</v>
      </c>
    </row>
    <row r="761" spans="1:8">
      <c r="A761" s="8">
        <v>756</v>
      </c>
      <c r="B761" s="14">
        <f t="shared" ca="1" si="79"/>
        <v>0.13629843594155644</v>
      </c>
      <c r="C761" s="8" t="str">
        <f t="shared" ca="1" si="80"/>
        <v>Navegación</v>
      </c>
      <c r="D761" s="14">
        <f t="shared" ca="1" si="81"/>
        <v>0.36713783949802414</v>
      </c>
      <c r="E761" s="8">
        <f t="shared" ca="1" si="82"/>
        <v>2</v>
      </c>
      <c r="F761" s="8">
        <f t="shared" ca="1" si="83"/>
        <v>3</v>
      </c>
      <c r="G761" s="14">
        <f t="shared" ca="1" si="84"/>
        <v>0.98692634612272079</v>
      </c>
      <c r="H761" s="8">
        <f t="shared" ca="1" si="85"/>
        <v>20</v>
      </c>
    </row>
    <row r="762" spans="1:8">
      <c r="A762" s="8">
        <v>757</v>
      </c>
      <c r="B762" s="9">
        <f t="shared" ca="1" si="79"/>
        <v>0.32071745935587703</v>
      </c>
      <c r="C762" s="10" t="str">
        <f t="shared" ca="1" si="80"/>
        <v>Navegación</v>
      </c>
      <c r="D762" s="9">
        <f t="shared" ca="1" si="81"/>
        <v>0.5919410256465113</v>
      </c>
      <c r="E762" s="10">
        <f t="shared" ca="1" si="82"/>
        <v>3</v>
      </c>
      <c r="F762" s="10">
        <f t="shared" ca="1" si="83"/>
        <v>2</v>
      </c>
      <c r="G762" s="9">
        <f t="shared" ca="1" si="84"/>
        <v>0.87319525485916716</v>
      </c>
      <c r="H762" s="10">
        <f t="shared" ca="1" si="85"/>
        <v>16</v>
      </c>
    </row>
    <row r="763" spans="1:8">
      <c r="A763" s="8">
        <v>758</v>
      </c>
      <c r="B763" s="14">
        <f t="shared" ca="1" si="79"/>
        <v>0.98569754586330116</v>
      </c>
      <c r="C763" s="8" t="str">
        <f t="shared" ca="1" si="80"/>
        <v>Checkout</v>
      </c>
      <c r="D763" s="14">
        <f t="shared" ca="1" si="81"/>
        <v>6.0165576632158491E-3</v>
      </c>
      <c r="E763" s="8">
        <f t="shared" ca="1" si="82"/>
        <v>1</v>
      </c>
      <c r="F763" s="8">
        <f t="shared" ca="1" si="83"/>
        <v>1</v>
      </c>
      <c r="G763" s="14">
        <f t="shared" ca="1" si="84"/>
        <v>0.71778431143616528</v>
      </c>
      <c r="H763" s="8">
        <f t="shared" ca="1" si="85"/>
        <v>14</v>
      </c>
    </row>
    <row r="764" spans="1:8">
      <c r="A764" s="8">
        <v>759</v>
      </c>
      <c r="B764" s="9">
        <f t="shared" ca="1" si="79"/>
        <v>8.7867678463026011E-2</v>
      </c>
      <c r="C764" s="10" t="str">
        <f t="shared" ca="1" si="80"/>
        <v>Navegación</v>
      </c>
      <c r="D764" s="9">
        <f t="shared" ca="1" si="81"/>
        <v>0.51215771603948024</v>
      </c>
      <c r="E764" s="10">
        <f t="shared" ca="1" si="82"/>
        <v>3</v>
      </c>
      <c r="F764" s="10">
        <f t="shared" ca="1" si="83"/>
        <v>2</v>
      </c>
      <c r="G764" s="9">
        <f t="shared" ca="1" si="84"/>
        <v>0.18713390791577056</v>
      </c>
      <c r="H764" s="10">
        <f t="shared" ca="1" si="85"/>
        <v>9</v>
      </c>
    </row>
    <row r="765" spans="1:8">
      <c r="A765" s="8">
        <v>760</v>
      </c>
      <c r="B765" s="14">
        <f t="shared" ca="1" si="79"/>
        <v>0.25407985639658515</v>
      </c>
      <c r="C765" s="8" t="str">
        <f t="shared" ca="1" si="80"/>
        <v>Navegación</v>
      </c>
      <c r="D765" s="14">
        <f t="shared" ca="1" si="81"/>
        <v>0.53775394907094987</v>
      </c>
      <c r="E765" s="8">
        <f t="shared" ca="1" si="82"/>
        <v>3</v>
      </c>
      <c r="F765" s="8">
        <f t="shared" ca="1" si="83"/>
        <v>2</v>
      </c>
      <c r="G765" s="14">
        <f t="shared" ca="1" si="84"/>
        <v>0.54654203203113372</v>
      </c>
      <c r="H765" s="8">
        <f t="shared" ca="1" si="85"/>
        <v>12</v>
      </c>
    </row>
    <row r="766" spans="1:8">
      <c r="A766" s="8">
        <v>761</v>
      </c>
      <c r="B766" s="9">
        <f t="shared" ca="1" si="79"/>
        <v>0.69371524214144054</v>
      </c>
      <c r="C766" s="10" t="str">
        <f t="shared" ca="1" si="80"/>
        <v>Carrito</v>
      </c>
      <c r="D766" s="9">
        <f t="shared" ca="1" si="81"/>
        <v>0.65609801409407353</v>
      </c>
      <c r="E766" s="10">
        <f t="shared" ca="1" si="82"/>
        <v>4</v>
      </c>
      <c r="F766" s="10">
        <f t="shared" ca="1" si="83"/>
        <v>5</v>
      </c>
      <c r="G766" s="9">
        <f t="shared" ca="1" si="84"/>
        <v>0.21901348426054079</v>
      </c>
      <c r="H766" s="10">
        <f t="shared" ca="1" si="85"/>
        <v>9</v>
      </c>
    </row>
    <row r="767" spans="1:8">
      <c r="A767" s="8">
        <v>762</v>
      </c>
      <c r="B767" s="14">
        <f t="shared" ca="1" si="79"/>
        <v>0.93355395092293325</v>
      </c>
      <c r="C767" s="8" t="str">
        <f t="shared" ca="1" si="80"/>
        <v>Checkout</v>
      </c>
      <c r="D767" s="14">
        <f t="shared" ca="1" si="81"/>
        <v>0.94886843129762632</v>
      </c>
      <c r="E767" s="8">
        <f t="shared" ca="1" si="82"/>
        <v>5</v>
      </c>
      <c r="F767" s="8">
        <f t="shared" ca="1" si="83"/>
        <v>1</v>
      </c>
      <c r="G767" s="14">
        <f t="shared" ca="1" si="84"/>
        <v>0.47392201980707438</v>
      </c>
      <c r="H767" s="8">
        <f t="shared" ca="1" si="85"/>
        <v>12</v>
      </c>
    </row>
    <row r="768" spans="1:8">
      <c r="A768" s="8">
        <v>763</v>
      </c>
      <c r="B768" s="9">
        <f t="shared" ca="1" si="79"/>
        <v>0.60253570055486427</v>
      </c>
      <c r="C768" s="10" t="str">
        <f t="shared" ca="1" si="80"/>
        <v>Carrito</v>
      </c>
      <c r="D768" s="9">
        <f t="shared" ca="1" si="81"/>
        <v>0.40082739650216404</v>
      </c>
      <c r="E768" s="10">
        <f t="shared" ca="1" si="82"/>
        <v>3</v>
      </c>
      <c r="F768" s="10">
        <f t="shared" ca="1" si="83"/>
        <v>5</v>
      </c>
      <c r="G768" s="9">
        <f t="shared" ca="1" si="84"/>
        <v>0.93536580673275516</v>
      </c>
      <c r="H768" s="10">
        <f t="shared" ca="1" si="85"/>
        <v>17</v>
      </c>
    </row>
    <row r="769" spans="1:8">
      <c r="A769" s="8">
        <v>764</v>
      </c>
      <c r="B769" s="14">
        <f t="shared" ca="1" si="79"/>
        <v>0.80442952165707549</v>
      </c>
      <c r="C769" s="8" t="str">
        <f t="shared" ca="1" si="80"/>
        <v>Carrito</v>
      </c>
      <c r="D769" s="14">
        <f t="shared" ca="1" si="81"/>
        <v>0.21305314171429979</v>
      </c>
      <c r="E769" s="8">
        <f t="shared" ca="1" si="82"/>
        <v>2</v>
      </c>
      <c r="F769" s="8">
        <f t="shared" ca="1" si="83"/>
        <v>3</v>
      </c>
      <c r="G769" s="14">
        <f t="shared" ca="1" si="84"/>
        <v>0.2845536752240676</v>
      </c>
      <c r="H769" s="8">
        <f t="shared" ca="1" si="85"/>
        <v>10</v>
      </c>
    </row>
    <row r="770" spans="1:8">
      <c r="A770" s="8">
        <v>765</v>
      </c>
      <c r="B770" s="9">
        <f t="shared" ca="1" si="79"/>
        <v>0.2879264968816575</v>
      </c>
      <c r="C770" s="10" t="str">
        <f t="shared" ca="1" si="80"/>
        <v>Navegación</v>
      </c>
      <c r="D770" s="9">
        <f t="shared" ca="1" si="81"/>
        <v>0.45867815913085297</v>
      </c>
      <c r="E770" s="10">
        <f t="shared" ca="1" si="82"/>
        <v>3</v>
      </c>
      <c r="F770" s="10">
        <f t="shared" ca="1" si="83"/>
        <v>2</v>
      </c>
      <c r="G770" s="9">
        <f t="shared" ca="1" si="84"/>
        <v>0.37634899623810225</v>
      </c>
      <c r="H770" s="10">
        <f t="shared" ca="1" si="85"/>
        <v>11</v>
      </c>
    </row>
    <row r="771" spans="1:8">
      <c r="A771" s="8">
        <v>766</v>
      </c>
      <c r="B771" s="14">
        <f t="shared" ca="1" si="79"/>
        <v>7.2176067396677257E-2</v>
      </c>
      <c r="C771" s="8" t="str">
        <f t="shared" ca="1" si="80"/>
        <v>Navegación</v>
      </c>
      <c r="D771" s="14">
        <f t="shared" ca="1" si="81"/>
        <v>0.90855653800911951</v>
      </c>
      <c r="E771" s="8">
        <f t="shared" ca="1" si="82"/>
        <v>5</v>
      </c>
      <c r="F771" s="8">
        <f t="shared" ca="1" si="83"/>
        <v>1</v>
      </c>
      <c r="G771" s="14">
        <f t="shared" ca="1" si="84"/>
        <v>0.91036146414171037</v>
      </c>
      <c r="H771" s="8">
        <f t="shared" ca="1" si="85"/>
        <v>17</v>
      </c>
    </row>
    <row r="772" spans="1:8">
      <c r="A772" s="8">
        <v>767</v>
      </c>
      <c r="B772" s="9">
        <f t="shared" ca="1" si="79"/>
        <v>0.51122510146312772</v>
      </c>
      <c r="C772" s="10" t="str">
        <f t="shared" ca="1" si="80"/>
        <v>Navegación</v>
      </c>
      <c r="D772" s="9">
        <f t="shared" ca="1" si="81"/>
        <v>0.54117985011702596</v>
      </c>
      <c r="E772" s="10">
        <f t="shared" ca="1" si="82"/>
        <v>3</v>
      </c>
      <c r="F772" s="10">
        <f t="shared" ca="1" si="83"/>
        <v>3</v>
      </c>
      <c r="G772" s="9">
        <f t="shared" ca="1" si="84"/>
        <v>0.84305896575715622</v>
      </c>
      <c r="H772" s="10">
        <f t="shared" ca="1" si="85"/>
        <v>15</v>
      </c>
    </row>
    <row r="773" spans="1:8">
      <c r="A773" s="8">
        <v>768</v>
      </c>
      <c r="B773" s="14">
        <f t="shared" ca="1" si="79"/>
        <v>0.5911925265365009</v>
      </c>
      <c r="C773" s="8" t="str">
        <f t="shared" ca="1" si="80"/>
        <v>Carrito</v>
      </c>
      <c r="D773" s="14">
        <f t="shared" ca="1" si="81"/>
        <v>0.12310020322242254</v>
      </c>
      <c r="E773" s="8">
        <f t="shared" ca="1" si="82"/>
        <v>1</v>
      </c>
      <c r="F773" s="8">
        <f t="shared" ca="1" si="83"/>
        <v>2</v>
      </c>
      <c r="G773" s="14">
        <f t="shared" ca="1" si="84"/>
        <v>0.6279411126329747</v>
      </c>
      <c r="H773" s="8">
        <f t="shared" ca="1" si="85"/>
        <v>13</v>
      </c>
    </row>
    <row r="774" spans="1:8">
      <c r="A774" s="8">
        <v>769</v>
      </c>
      <c r="B774" s="9">
        <f t="shared" ref="B774:B837" ca="1" si="86">RAND()</f>
        <v>0.95555231887977332</v>
      </c>
      <c r="C774" s="10" t="str">
        <f t="shared" ref="C774:C837" ca="1" si="87">VLOOKUP(B774, $J$6:$K$8, 2, TRUE)</f>
        <v>Checkout</v>
      </c>
      <c r="D774" s="9">
        <f t="shared" ref="D774:D837" ca="1" si="88">RAND()</f>
        <v>0.36771523488352265</v>
      </c>
      <c r="E774" s="10">
        <f t="shared" ref="E774:E837" ca="1" si="89">INT(D774*($O$7-$O$6+1))+$O$6</f>
        <v>2</v>
      </c>
      <c r="F774" s="10">
        <f t="shared" ref="F774:F837" ca="1" si="90">RANDBETWEEN($O$6, $O$7)</f>
        <v>2</v>
      </c>
      <c r="G774" s="9">
        <f t="shared" ref="G774:G837" ca="1" si="91">RAND()</f>
        <v>5.7682672878325403E-2</v>
      </c>
      <c r="H774" s="10">
        <f t="shared" ref="H774:H837" ca="1" si="92">VLOOKUP(G774, $W$5:$X$39, 2, TRUE)</f>
        <v>7</v>
      </c>
    </row>
    <row r="775" spans="1:8">
      <c r="A775" s="8">
        <v>770</v>
      </c>
      <c r="B775" s="14">
        <f t="shared" ca="1" si="86"/>
        <v>0.56387405790092715</v>
      </c>
      <c r="C775" s="8" t="str">
        <f t="shared" ca="1" si="87"/>
        <v>Carrito</v>
      </c>
      <c r="D775" s="14">
        <f t="shared" ca="1" si="88"/>
        <v>0.98403468120247672</v>
      </c>
      <c r="E775" s="8">
        <f t="shared" ca="1" si="89"/>
        <v>5</v>
      </c>
      <c r="F775" s="8">
        <f t="shared" ca="1" si="90"/>
        <v>4</v>
      </c>
      <c r="G775" s="14">
        <f t="shared" ca="1" si="91"/>
        <v>0.73386865146239821</v>
      </c>
      <c r="H775" s="8">
        <f t="shared" ca="1" si="92"/>
        <v>14</v>
      </c>
    </row>
    <row r="776" spans="1:8">
      <c r="A776" s="8">
        <v>771</v>
      </c>
      <c r="B776" s="9">
        <f t="shared" ca="1" si="86"/>
        <v>0.40574910135646824</v>
      </c>
      <c r="C776" s="10" t="str">
        <f t="shared" ca="1" si="87"/>
        <v>Navegación</v>
      </c>
      <c r="D776" s="9">
        <f t="shared" ca="1" si="88"/>
        <v>5.6079033971545789E-2</v>
      </c>
      <c r="E776" s="10">
        <f t="shared" ca="1" si="89"/>
        <v>1</v>
      </c>
      <c r="F776" s="10">
        <f t="shared" ca="1" si="90"/>
        <v>1</v>
      </c>
      <c r="G776" s="9">
        <f t="shared" ca="1" si="91"/>
        <v>0.96953023156656326</v>
      </c>
      <c r="H776" s="10">
        <f t="shared" ca="1" si="92"/>
        <v>19</v>
      </c>
    </row>
    <row r="777" spans="1:8">
      <c r="A777" s="8">
        <v>772</v>
      </c>
      <c r="B777" s="14">
        <f t="shared" ca="1" si="86"/>
        <v>1.8304676848951651E-2</v>
      </c>
      <c r="C777" s="8" t="str">
        <f t="shared" ca="1" si="87"/>
        <v>Navegación</v>
      </c>
      <c r="D777" s="14">
        <f t="shared" ca="1" si="88"/>
        <v>5.2513706243923819E-2</v>
      </c>
      <c r="E777" s="8">
        <f t="shared" ca="1" si="89"/>
        <v>1</v>
      </c>
      <c r="F777" s="8">
        <f t="shared" ca="1" si="90"/>
        <v>2</v>
      </c>
      <c r="G777" s="14">
        <f t="shared" ca="1" si="91"/>
        <v>0.86153315555998589</v>
      </c>
      <c r="H777" s="8">
        <f t="shared" ca="1" si="92"/>
        <v>16</v>
      </c>
    </row>
    <row r="778" spans="1:8">
      <c r="A778" s="8">
        <v>773</v>
      </c>
      <c r="B778" s="9">
        <f t="shared" ca="1" si="86"/>
        <v>0.95809315374118831</v>
      </c>
      <c r="C778" s="10" t="str">
        <f t="shared" ca="1" si="87"/>
        <v>Checkout</v>
      </c>
      <c r="D778" s="9">
        <f t="shared" ca="1" si="88"/>
        <v>0.10244250536468857</v>
      </c>
      <c r="E778" s="10">
        <f t="shared" ca="1" si="89"/>
        <v>1</v>
      </c>
      <c r="F778" s="10">
        <f t="shared" ca="1" si="90"/>
        <v>3</v>
      </c>
      <c r="G778" s="9">
        <f t="shared" ca="1" si="91"/>
        <v>0.38710328278480588</v>
      </c>
      <c r="H778" s="10">
        <f t="shared" ca="1" si="92"/>
        <v>11</v>
      </c>
    </row>
    <row r="779" spans="1:8">
      <c r="A779" s="8">
        <v>774</v>
      </c>
      <c r="B779" s="14">
        <f t="shared" ca="1" si="86"/>
        <v>0.66129472976510495</v>
      </c>
      <c r="C779" s="8" t="str">
        <f t="shared" ca="1" si="87"/>
        <v>Carrito</v>
      </c>
      <c r="D779" s="14">
        <f t="shared" ca="1" si="88"/>
        <v>0.36915539599530134</v>
      </c>
      <c r="E779" s="8">
        <f t="shared" ca="1" si="89"/>
        <v>2</v>
      </c>
      <c r="F779" s="8">
        <f t="shared" ca="1" si="90"/>
        <v>2</v>
      </c>
      <c r="G779" s="14">
        <f t="shared" ca="1" si="91"/>
        <v>0.46885794836429839</v>
      </c>
      <c r="H779" s="8">
        <f t="shared" ca="1" si="92"/>
        <v>12</v>
      </c>
    </row>
    <row r="780" spans="1:8">
      <c r="A780" s="8">
        <v>775</v>
      </c>
      <c r="B780" s="9">
        <f t="shared" ca="1" si="86"/>
        <v>0.91103051004306146</v>
      </c>
      <c r="C780" s="10" t="str">
        <f t="shared" ca="1" si="87"/>
        <v>Checkout</v>
      </c>
      <c r="D780" s="9">
        <f t="shared" ca="1" si="88"/>
        <v>0.91172006385456295</v>
      </c>
      <c r="E780" s="10">
        <f t="shared" ca="1" si="89"/>
        <v>5</v>
      </c>
      <c r="F780" s="10">
        <f t="shared" ca="1" si="90"/>
        <v>4</v>
      </c>
      <c r="G780" s="9">
        <f t="shared" ca="1" si="91"/>
        <v>0.52588400667323165</v>
      </c>
      <c r="H780" s="10">
        <f t="shared" ca="1" si="92"/>
        <v>12</v>
      </c>
    </row>
    <row r="781" spans="1:8">
      <c r="A781" s="8">
        <v>776</v>
      </c>
      <c r="B781" s="14">
        <f t="shared" ca="1" si="86"/>
        <v>0.14453818832461141</v>
      </c>
      <c r="C781" s="8" t="str">
        <f t="shared" ca="1" si="87"/>
        <v>Navegación</v>
      </c>
      <c r="D781" s="14">
        <f t="shared" ca="1" si="88"/>
        <v>0.21557651612391915</v>
      </c>
      <c r="E781" s="8">
        <f t="shared" ca="1" si="89"/>
        <v>2</v>
      </c>
      <c r="F781" s="8">
        <f t="shared" ca="1" si="90"/>
        <v>2</v>
      </c>
      <c r="G781" s="14">
        <f t="shared" ca="1" si="91"/>
        <v>0.71857310230189675</v>
      </c>
      <c r="H781" s="8">
        <f t="shared" ca="1" si="92"/>
        <v>14</v>
      </c>
    </row>
    <row r="782" spans="1:8">
      <c r="A782" s="8">
        <v>777</v>
      </c>
      <c r="B782" s="9">
        <f t="shared" ca="1" si="86"/>
        <v>0.49478776058857099</v>
      </c>
      <c r="C782" s="10" t="str">
        <f t="shared" ca="1" si="87"/>
        <v>Navegación</v>
      </c>
      <c r="D782" s="9">
        <f t="shared" ca="1" si="88"/>
        <v>0.75369622217249299</v>
      </c>
      <c r="E782" s="10">
        <f t="shared" ca="1" si="89"/>
        <v>4</v>
      </c>
      <c r="F782" s="10">
        <f t="shared" ca="1" si="90"/>
        <v>3</v>
      </c>
      <c r="G782" s="9">
        <f t="shared" ca="1" si="91"/>
        <v>0.34515541759728796</v>
      </c>
      <c r="H782" s="10">
        <f t="shared" ca="1" si="92"/>
        <v>10</v>
      </c>
    </row>
    <row r="783" spans="1:8">
      <c r="A783" s="8">
        <v>778</v>
      </c>
      <c r="B783" s="14">
        <f t="shared" ca="1" si="86"/>
        <v>0.36042076653116839</v>
      </c>
      <c r="C783" s="8" t="str">
        <f t="shared" ca="1" si="87"/>
        <v>Navegación</v>
      </c>
      <c r="D783" s="14">
        <f t="shared" ca="1" si="88"/>
        <v>0.81393351974187744</v>
      </c>
      <c r="E783" s="8">
        <f t="shared" ca="1" si="89"/>
        <v>5</v>
      </c>
      <c r="F783" s="8">
        <f t="shared" ca="1" si="90"/>
        <v>4</v>
      </c>
      <c r="G783" s="14">
        <f t="shared" ca="1" si="91"/>
        <v>0.47011299810553886</v>
      </c>
      <c r="H783" s="8">
        <f t="shared" ca="1" si="92"/>
        <v>12</v>
      </c>
    </row>
    <row r="784" spans="1:8">
      <c r="A784" s="8">
        <v>779</v>
      </c>
      <c r="B784" s="9">
        <f t="shared" ca="1" si="86"/>
        <v>0.40512098892411008</v>
      </c>
      <c r="C784" s="10" t="str">
        <f t="shared" ca="1" si="87"/>
        <v>Navegación</v>
      </c>
      <c r="D784" s="9">
        <f t="shared" ca="1" si="88"/>
        <v>0.36888367927048782</v>
      </c>
      <c r="E784" s="10">
        <f t="shared" ca="1" si="89"/>
        <v>2</v>
      </c>
      <c r="F784" s="10">
        <f t="shared" ca="1" si="90"/>
        <v>4</v>
      </c>
      <c r="G784" s="9">
        <f t="shared" ca="1" si="91"/>
        <v>6.9263254382497919E-2</v>
      </c>
      <c r="H784" s="10">
        <f t="shared" ca="1" si="92"/>
        <v>7</v>
      </c>
    </row>
    <row r="785" spans="1:8">
      <c r="A785" s="8">
        <v>780</v>
      </c>
      <c r="B785" s="14">
        <f t="shared" ca="1" si="86"/>
        <v>0.45738843134426266</v>
      </c>
      <c r="C785" s="8" t="str">
        <f t="shared" ca="1" si="87"/>
        <v>Navegación</v>
      </c>
      <c r="D785" s="14">
        <f t="shared" ca="1" si="88"/>
        <v>0.39404903612957043</v>
      </c>
      <c r="E785" s="8">
        <f t="shared" ca="1" si="89"/>
        <v>2</v>
      </c>
      <c r="F785" s="8">
        <f t="shared" ca="1" si="90"/>
        <v>3</v>
      </c>
      <c r="G785" s="14">
        <f t="shared" ca="1" si="91"/>
        <v>0.40950009711219448</v>
      </c>
      <c r="H785" s="8">
        <f t="shared" ca="1" si="92"/>
        <v>11</v>
      </c>
    </row>
    <row r="786" spans="1:8">
      <c r="A786" s="8">
        <v>781</v>
      </c>
      <c r="B786" s="9">
        <f t="shared" ca="1" si="86"/>
        <v>0.29143903768604207</v>
      </c>
      <c r="C786" s="10" t="str">
        <f t="shared" ca="1" si="87"/>
        <v>Navegación</v>
      </c>
      <c r="D786" s="9">
        <f t="shared" ca="1" si="88"/>
        <v>0.23535746273722258</v>
      </c>
      <c r="E786" s="10">
        <f t="shared" ca="1" si="89"/>
        <v>2</v>
      </c>
      <c r="F786" s="10">
        <f t="shared" ca="1" si="90"/>
        <v>3</v>
      </c>
      <c r="G786" s="9">
        <f t="shared" ca="1" si="91"/>
        <v>0.66310844100056243</v>
      </c>
      <c r="H786" s="10">
        <f t="shared" ca="1" si="92"/>
        <v>13</v>
      </c>
    </row>
    <row r="787" spans="1:8">
      <c r="A787" s="8">
        <v>782</v>
      </c>
      <c r="B787" s="14">
        <f t="shared" ca="1" si="86"/>
        <v>0.49296465690897062</v>
      </c>
      <c r="C787" s="8" t="str">
        <f t="shared" ca="1" si="87"/>
        <v>Navegación</v>
      </c>
      <c r="D787" s="14">
        <f t="shared" ca="1" si="88"/>
        <v>7.5586455225437721E-2</v>
      </c>
      <c r="E787" s="8">
        <f t="shared" ca="1" si="89"/>
        <v>1</v>
      </c>
      <c r="F787" s="8">
        <f t="shared" ca="1" si="90"/>
        <v>4</v>
      </c>
      <c r="G787" s="14">
        <f t="shared" ca="1" si="91"/>
        <v>0.57490272000160403</v>
      </c>
      <c r="H787" s="8">
        <f t="shared" ca="1" si="92"/>
        <v>12</v>
      </c>
    </row>
    <row r="788" spans="1:8">
      <c r="A788" s="8">
        <v>783</v>
      </c>
      <c r="B788" s="9">
        <f t="shared" ca="1" si="86"/>
        <v>0.99324898658501282</v>
      </c>
      <c r="C788" s="10" t="str">
        <f t="shared" ca="1" si="87"/>
        <v>Checkout</v>
      </c>
      <c r="D788" s="9">
        <f t="shared" ca="1" si="88"/>
        <v>0.18041880012094846</v>
      </c>
      <c r="E788" s="10">
        <f t="shared" ca="1" si="89"/>
        <v>1</v>
      </c>
      <c r="F788" s="10">
        <f t="shared" ca="1" si="90"/>
        <v>5</v>
      </c>
      <c r="G788" s="9">
        <f t="shared" ca="1" si="91"/>
        <v>0.6882320434901027</v>
      </c>
      <c r="H788" s="10">
        <f t="shared" ca="1" si="92"/>
        <v>14</v>
      </c>
    </row>
    <row r="789" spans="1:8">
      <c r="A789" s="8">
        <v>784</v>
      </c>
      <c r="B789" s="14">
        <f t="shared" ca="1" si="86"/>
        <v>0.97364968912475447</v>
      </c>
      <c r="C789" s="8" t="str">
        <f t="shared" ca="1" si="87"/>
        <v>Checkout</v>
      </c>
      <c r="D789" s="14">
        <f t="shared" ca="1" si="88"/>
        <v>0.68287412268450731</v>
      </c>
      <c r="E789" s="8">
        <f t="shared" ca="1" si="89"/>
        <v>4</v>
      </c>
      <c r="F789" s="8">
        <f t="shared" ca="1" si="90"/>
        <v>2</v>
      </c>
      <c r="G789" s="14">
        <f t="shared" ca="1" si="91"/>
        <v>0.7234493470567197</v>
      </c>
      <c r="H789" s="8">
        <f t="shared" ca="1" si="92"/>
        <v>14</v>
      </c>
    </row>
    <row r="790" spans="1:8">
      <c r="A790" s="8">
        <v>785</v>
      </c>
      <c r="B790" s="9">
        <f t="shared" ca="1" si="86"/>
        <v>0.34085555792556244</v>
      </c>
      <c r="C790" s="10" t="str">
        <f t="shared" ca="1" si="87"/>
        <v>Navegación</v>
      </c>
      <c r="D790" s="9">
        <f t="shared" ca="1" si="88"/>
        <v>0.64916945240832025</v>
      </c>
      <c r="E790" s="10">
        <f t="shared" ca="1" si="89"/>
        <v>4</v>
      </c>
      <c r="F790" s="10">
        <f t="shared" ca="1" si="90"/>
        <v>5</v>
      </c>
      <c r="G790" s="9">
        <f t="shared" ca="1" si="91"/>
        <v>0.54133546432811797</v>
      </c>
      <c r="H790" s="10">
        <f t="shared" ca="1" si="92"/>
        <v>12</v>
      </c>
    </row>
    <row r="791" spans="1:8">
      <c r="A791" s="8">
        <v>786</v>
      </c>
      <c r="B791" s="14">
        <f t="shared" ca="1" si="86"/>
        <v>0.47361911048863348</v>
      </c>
      <c r="C791" s="8" t="str">
        <f t="shared" ca="1" si="87"/>
        <v>Navegación</v>
      </c>
      <c r="D791" s="14">
        <f t="shared" ca="1" si="88"/>
        <v>0.50241499105411624</v>
      </c>
      <c r="E791" s="8">
        <f t="shared" ca="1" si="89"/>
        <v>3</v>
      </c>
      <c r="F791" s="8">
        <f t="shared" ca="1" si="90"/>
        <v>2</v>
      </c>
      <c r="G791" s="14">
        <f t="shared" ca="1" si="91"/>
        <v>0.3708152443663385</v>
      </c>
      <c r="H791" s="8">
        <f t="shared" ca="1" si="92"/>
        <v>11</v>
      </c>
    </row>
    <row r="792" spans="1:8">
      <c r="A792" s="8">
        <v>787</v>
      </c>
      <c r="B792" s="9">
        <f t="shared" ca="1" si="86"/>
        <v>0.20467570376027377</v>
      </c>
      <c r="C792" s="10" t="str">
        <f t="shared" ca="1" si="87"/>
        <v>Navegación</v>
      </c>
      <c r="D792" s="9">
        <f t="shared" ca="1" si="88"/>
        <v>0.40427800160981364</v>
      </c>
      <c r="E792" s="10">
        <f t="shared" ca="1" si="89"/>
        <v>3</v>
      </c>
      <c r="F792" s="10">
        <f t="shared" ca="1" si="90"/>
        <v>3</v>
      </c>
      <c r="G792" s="9">
        <f t="shared" ca="1" si="91"/>
        <v>0.60997271510501294</v>
      </c>
      <c r="H792" s="10">
        <f t="shared" ca="1" si="92"/>
        <v>13</v>
      </c>
    </row>
    <row r="793" spans="1:8">
      <c r="A793" s="8">
        <v>788</v>
      </c>
      <c r="B793" s="14">
        <f t="shared" ca="1" si="86"/>
        <v>0.14184390309120443</v>
      </c>
      <c r="C793" s="8" t="str">
        <f t="shared" ca="1" si="87"/>
        <v>Navegación</v>
      </c>
      <c r="D793" s="14">
        <f t="shared" ca="1" si="88"/>
        <v>0.91301375250474681</v>
      </c>
      <c r="E793" s="8">
        <f t="shared" ca="1" si="89"/>
        <v>5</v>
      </c>
      <c r="F793" s="8">
        <f t="shared" ca="1" si="90"/>
        <v>4</v>
      </c>
      <c r="G793" s="14">
        <f t="shared" ca="1" si="91"/>
        <v>7.8465258215434597E-2</v>
      </c>
      <c r="H793" s="8">
        <f t="shared" ca="1" si="92"/>
        <v>7</v>
      </c>
    </row>
    <row r="794" spans="1:8">
      <c r="A794" s="8">
        <v>789</v>
      </c>
      <c r="B794" s="9">
        <f t="shared" ca="1" si="86"/>
        <v>0.8437941791484419</v>
      </c>
      <c r="C794" s="10" t="str">
        <f t="shared" ca="1" si="87"/>
        <v>Carrito</v>
      </c>
      <c r="D794" s="9">
        <f t="shared" ca="1" si="88"/>
        <v>0.21563239487774544</v>
      </c>
      <c r="E794" s="10">
        <f t="shared" ca="1" si="89"/>
        <v>2</v>
      </c>
      <c r="F794" s="10">
        <f t="shared" ca="1" si="90"/>
        <v>4</v>
      </c>
      <c r="G794" s="9">
        <f t="shared" ca="1" si="91"/>
        <v>0.8658846198887481</v>
      </c>
      <c r="H794" s="10">
        <f t="shared" ca="1" si="92"/>
        <v>16</v>
      </c>
    </row>
    <row r="795" spans="1:8">
      <c r="A795" s="8">
        <v>790</v>
      </c>
      <c r="B795" s="14">
        <f t="shared" ca="1" si="86"/>
        <v>0.9781983346826062</v>
      </c>
      <c r="C795" s="8" t="str">
        <f t="shared" ca="1" si="87"/>
        <v>Checkout</v>
      </c>
      <c r="D795" s="14">
        <f t="shared" ca="1" si="88"/>
        <v>0.41022573910378535</v>
      </c>
      <c r="E795" s="8">
        <f t="shared" ca="1" si="89"/>
        <v>3</v>
      </c>
      <c r="F795" s="8">
        <f t="shared" ca="1" si="90"/>
        <v>2</v>
      </c>
      <c r="G795" s="14">
        <f t="shared" ca="1" si="91"/>
        <v>0.55889015585047852</v>
      </c>
      <c r="H795" s="8">
        <f t="shared" ca="1" si="92"/>
        <v>12</v>
      </c>
    </row>
    <row r="796" spans="1:8">
      <c r="A796" s="8">
        <v>791</v>
      </c>
      <c r="B796" s="9">
        <f t="shared" ca="1" si="86"/>
        <v>0.84299692318268027</v>
      </c>
      <c r="C796" s="10" t="str">
        <f t="shared" ca="1" si="87"/>
        <v>Carrito</v>
      </c>
      <c r="D796" s="9">
        <f t="shared" ca="1" si="88"/>
        <v>0.1440477143425124</v>
      </c>
      <c r="E796" s="10">
        <f t="shared" ca="1" si="89"/>
        <v>1</v>
      </c>
      <c r="F796" s="10">
        <f t="shared" ca="1" si="90"/>
        <v>5</v>
      </c>
      <c r="G796" s="9">
        <f t="shared" ca="1" si="91"/>
        <v>0.45193623673787842</v>
      </c>
      <c r="H796" s="10">
        <f t="shared" ca="1" si="92"/>
        <v>11</v>
      </c>
    </row>
    <row r="797" spans="1:8">
      <c r="A797" s="8">
        <v>792</v>
      </c>
      <c r="B797" s="14">
        <f t="shared" ca="1" si="86"/>
        <v>0.12368218959964672</v>
      </c>
      <c r="C797" s="8" t="str">
        <f t="shared" ca="1" si="87"/>
        <v>Navegación</v>
      </c>
      <c r="D797" s="14">
        <f t="shared" ca="1" si="88"/>
        <v>0.40628218794522952</v>
      </c>
      <c r="E797" s="8">
        <f t="shared" ca="1" si="89"/>
        <v>3</v>
      </c>
      <c r="F797" s="8">
        <f t="shared" ca="1" si="90"/>
        <v>3</v>
      </c>
      <c r="G797" s="14">
        <f t="shared" ca="1" si="91"/>
        <v>0.27735074757641509</v>
      </c>
      <c r="H797" s="8">
        <f t="shared" ca="1" si="92"/>
        <v>10</v>
      </c>
    </row>
    <row r="798" spans="1:8">
      <c r="A798" s="8">
        <v>793</v>
      </c>
      <c r="B798" s="9">
        <f t="shared" ca="1" si="86"/>
        <v>0.86640450674653235</v>
      </c>
      <c r="C798" s="10" t="str">
        <f t="shared" ca="1" si="87"/>
        <v>Checkout</v>
      </c>
      <c r="D798" s="9">
        <f t="shared" ca="1" si="88"/>
        <v>0.85777510144017244</v>
      </c>
      <c r="E798" s="10">
        <f t="shared" ca="1" si="89"/>
        <v>5</v>
      </c>
      <c r="F798" s="10">
        <f t="shared" ca="1" si="90"/>
        <v>3</v>
      </c>
      <c r="G798" s="9">
        <f t="shared" ca="1" si="91"/>
        <v>0.7440252239888272</v>
      </c>
      <c r="H798" s="10">
        <f t="shared" ca="1" si="92"/>
        <v>14</v>
      </c>
    </row>
    <row r="799" spans="1:8">
      <c r="A799" s="8">
        <v>794</v>
      </c>
      <c r="B799" s="14">
        <f t="shared" ca="1" si="86"/>
        <v>0.16970739767838561</v>
      </c>
      <c r="C799" s="8" t="str">
        <f t="shared" ca="1" si="87"/>
        <v>Navegación</v>
      </c>
      <c r="D799" s="14">
        <f t="shared" ca="1" si="88"/>
        <v>0.33341323979338788</v>
      </c>
      <c r="E799" s="8">
        <f t="shared" ca="1" si="89"/>
        <v>2</v>
      </c>
      <c r="F799" s="8">
        <f t="shared" ca="1" si="90"/>
        <v>3</v>
      </c>
      <c r="G799" s="14">
        <f t="shared" ca="1" si="91"/>
        <v>0.73067363949246</v>
      </c>
      <c r="H799" s="8">
        <f t="shared" ca="1" si="92"/>
        <v>14</v>
      </c>
    </row>
    <row r="800" spans="1:8">
      <c r="A800" s="8">
        <v>795</v>
      </c>
      <c r="B800" s="9">
        <f t="shared" ca="1" si="86"/>
        <v>0.73805077061896129</v>
      </c>
      <c r="C800" s="10" t="str">
        <f t="shared" ca="1" si="87"/>
        <v>Carrito</v>
      </c>
      <c r="D800" s="9">
        <f t="shared" ca="1" si="88"/>
        <v>0.24170237783028359</v>
      </c>
      <c r="E800" s="10">
        <f t="shared" ca="1" si="89"/>
        <v>2</v>
      </c>
      <c r="F800" s="10">
        <f t="shared" ca="1" si="90"/>
        <v>5</v>
      </c>
      <c r="G800" s="9">
        <f t="shared" ca="1" si="91"/>
        <v>0.39943034010190281</v>
      </c>
      <c r="H800" s="10">
        <f t="shared" ca="1" si="92"/>
        <v>11</v>
      </c>
    </row>
    <row r="801" spans="1:8">
      <c r="A801" s="8">
        <v>796</v>
      </c>
      <c r="B801" s="14">
        <f t="shared" ca="1" si="86"/>
        <v>0.21117090895551782</v>
      </c>
      <c r="C801" s="8" t="str">
        <f t="shared" ca="1" si="87"/>
        <v>Navegación</v>
      </c>
      <c r="D801" s="14">
        <f t="shared" ca="1" si="88"/>
        <v>0.78595228615997237</v>
      </c>
      <c r="E801" s="8">
        <f t="shared" ca="1" si="89"/>
        <v>4</v>
      </c>
      <c r="F801" s="8">
        <f t="shared" ca="1" si="90"/>
        <v>3</v>
      </c>
      <c r="G801" s="14">
        <f t="shared" ca="1" si="91"/>
        <v>0.54879006646035944</v>
      </c>
      <c r="H801" s="8">
        <f t="shared" ca="1" si="92"/>
        <v>12</v>
      </c>
    </row>
    <row r="802" spans="1:8">
      <c r="A802" s="8">
        <v>797</v>
      </c>
      <c r="B802" s="9">
        <f t="shared" ca="1" si="86"/>
        <v>0.74880019103907924</v>
      </c>
      <c r="C802" s="10" t="str">
        <f t="shared" ca="1" si="87"/>
        <v>Carrito</v>
      </c>
      <c r="D802" s="9">
        <f t="shared" ca="1" si="88"/>
        <v>0.47525432903037224</v>
      </c>
      <c r="E802" s="10">
        <f t="shared" ca="1" si="89"/>
        <v>3</v>
      </c>
      <c r="F802" s="10">
        <f t="shared" ca="1" si="90"/>
        <v>4</v>
      </c>
      <c r="G802" s="9">
        <f t="shared" ca="1" si="91"/>
        <v>0.52353941344523769</v>
      </c>
      <c r="H802" s="10">
        <f t="shared" ca="1" si="92"/>
        <v>12</v>
      </c>
    </row>
    <row r="803" spans="1:8">
      <c r="A803" s="8">
        <v>798</v>
      </c>
      <c r="B803" s="14">
        <f t="shared" ca="1" si="86"/>
        <v>0.85337854019174719</v>
      </c>
      <c r="C803" s="8" t="str">
        <f t="shared" ca="1" si="87"/>
        <v>Checkout</v>
      </c>
      <c r="D803" s="14">
        <f t="shared" ca="1" si="88"/>
        <v>0.59819328046133691</v>
      </c>
      <c r="E803" s="8">
        <f t="shared" ca="1" si="89"/>
        <v>3</v>
      </c>
      <c r="F803" s="8">
        <f t="shared" ca="1" si="90"/>
        <v>1</v>
      </c>
      <c r="G803" s="14">
        <f t="shared" ca="1" si="91"/>
        <v>0.5005013317885566</v>
      </c>
      <c r="H803" s="8">
        <f t="shared" ca="1" si="92"/>
        <v>12</v>
      </c>
    </row>
    <row r="804" spans="1:8">
      <c r="A804" s="8">
        <v>799</v>
      </c>
      <c r="B804" s="9">
        <f t="shared" ca="1" si="86"/>
        <v>0.13863098228146087</v>
      </c>
      <c r="C804" s="10" t="str">
        <f t="shared" ca="1" si="87"/>
        <v>Navegación</v>
      </c>
      <c r="D804" s="9">
        <f t="shared" ca="1" si="88"/>
        <v>0.329827990384572</v>
      </c>
      <c r="E804" s="10">
        <f t="shared" ca="1" si="89"/>
        <v>2</v>
      </c>
      <c r="F804" s="10">
        <f t="shared" ca="1" si="90"/>
        <v>1</v>
      </c>
      <c r="G804" s="9">
        <f t="shared" ca="1" si="91"/>
        <v>0.34687296008129131</v>
      </c>
      <c r="H804" s="10">
        <f t="shared" ca="1" si="92"/>
        <v>10</v>
      </c>
    </row>
    <row r="805" spans="1:8">
      <c r="A805" s="8">
        <v>800</v>
      </c>
      <c r="B805" s="14">
        <f t="shared" ca="1" si="86"/>
        <v>0.84730370922490761</v>
      </c>
      <c r="C805" s="8" t="str">
        <f t="shared" ca="1" si="87"/>
        <v>Carrito</v>
      </c>
      <c r="D805" s="14">
        <f t="shared" ca="1" si="88"/>
        <v>0.45638188236787369</v>
      </c>
      <c r="E805" s="8">
        <f t="shared" ca="1" si="89"/>
        <v>3</v>
      </c>
      <c r="F805" s="8">
        <f t="shared" ca="1" si="90"/>
        <v>5</v>
      </c>
      <c r="G805" s="14">
        <f t="shared" ca="1" si="91"/>
        <v>0.10196382084196509</v>
      </c>
      <c r="H805" s="8">
        <f t="shared" ca="1" si="92"/>
        <v>8</v>
      </c>
    </row>
    <row r="806" spans="1:8">
      <c r="A806" s="8">
        <v>801</v>
      </c>
      <c r="B806" s="9">
        <f t="shared" ca="1" si="86"/>
        <v>0.16272759886790078</v>
      </c>
      <c r="C806" s="10" t="str">
        <f t="shared" ca="1" si="87"/>
        <v>Navegación</v>
      </c>
      <c r="D806" s="9">
        <f t="shared" ca="1" si="88"/>
        <v>1.9909486284455435E-2</v>
      </c>
      <c r="E806" s="10">
        <f t="shared" ca="1" si="89"/>
        <v>1</v>
      </c>
      <c r="F806" s="10">
        <f t="shared" ca="1" si="90"/>
        <v>5</v>
      </c>
      <c r="G806" s="9">
        <f t="shared" ca="1" si="91"/>
        <v>0.56033994640226248</v>
      </c>
      <c r="H806" s="10">
        <f t="shared" ca="1" si="92"/>
        <v>12</v>
      </c>
    </row>
    <row r="807" spans="1:8">
      <c r="A807" s="8">
        <v>802</v>
      </c>
      <c r="B807" s="14">
        <f t="shared" ca="1" si="86"/>
        <v>0.97309229360532445</v>
      </c>
      <c r="C807" s="8" t="str">
        <f t="shared" ca="1" si="87"/>
        <v>Checkout</v>
      </c>
      <c r="D807" s="14">
        <f t="shared" ca="1" si="88"/>
        <v>0.80138086891844895</v>
      </c>
      <c r="E807" s="8">
        <f t="shared" ca="1" si="89"/>
        <v>5</v>
      </c>
      <c r="F807" s="8">
        <f t="shared" ca="1" si="90"/>
        <v>2</v>
      </c>
      <c r="G807" s="14">
        <f t="shared" ca="1" si="91"/>
        <v>9.032677700319891E-2</v>
      </c>
      <c r="H807" s="8">
        <f t="shared" ca="1" si="92"/>
        <v>8</v>
      </c>
    </row>
    <row r="808" spans="1:8">
      <c r="A808" s="8">
        <v>803</v>
      </c>
      <c r="B808" s="9">
        <f t="shared" ca="1" si="86"/>
        <v>0.75146601297969307</v>
      </c>
      <c r="C808" s="10" t="str">
        <f t="shared" ca="1" si="87"/>
        <v>Carrito</v>
      </c>
      <c r="D808" s="9">
        <f t="shared" ca="1" si="88"/>
        <v>6.4463509951783293E-2</v>
      </c>
      <c r="E808" s="10">
        <f t="shared" ca="1" si="89"/>
        <v>1</v>
      </c>
      <c r="F808" s="10">
        <f t="shared" ca="1" si="90"/>
        <v>5</v>
      </c>
      <c r="G808" s="9">
        <f t="shared" ca="1" si="91"/>
        <v>0.14678590118052715</v>
      </c>
      <c r="H808" s="10">
        <f t="shared" ca="1" si="92"/>
        <v>8</v>
      </c>
    </row>
    <row r="809" spans="1:8">
      <c r="A809" s="8">
        <v>804</v>
      </c>
      <c r="B809" s="14">
        <f t="shared" ca="1" si="86"/>
        <v>0.6753488557461933</v>
      </c>
      <c r="C809" s="8" t="str">
        <f t="shared" ca="1" si="87"/>
        <v>Carrito</v>
      </c>
      <c r="D809" s="14">
        <f t="shared" ca="1" si="88"/>
        <v>0.13259413384820817</v>
      </c>
      <c r="E809" s="8">
        <f t="shared" ca="1" si="89"/>
        <v>1</v>
      </c>
      <c r="F809" s="8">
        <f t="shared" ca="1" si="90"/>
        <v>1</v>
      </c>
      <c r="G809" s="14">
        <f t="shared" ca="1" si="91"/>
        <v>0.37067334121174855</v>
      </c>
      <c r="H809" s="8">
        <f t="shared" ca="1" si="92"/>
        <v>11</v>
      </c>
    </row>
    <row r="810" spans="1:8">
      <c r="A810" s="8">
        <v>805</v>
      </c>
      <c r="B810" s="9">
        <f t="shared" ca="1" si="86"/>
        <v>4.5804073667506384E-2</v>
      </c>
      <c r="C810" s="10" t="str">
        <f t="shared" ca="1" si="87"/>
        <v>Navegación</v>
      </c>
      <c r="D810" s="9">
        <f t="shared" ca="1" si="88"/>
        <v>0.5230363274736668</v>
      </c>
      <c r="E810" s="10">
        <f t="shared" ca="1" si="89"/>
        <v>3</v>
      </c>
      <c r="F810" s="10">
        <f t="shared" ca="1" si="90"/>
        <v>5</v>
      </c>
      <c r="G810" s="9">
        <f t="shared" ca="1" si="91"/>
        <v>0.37974059007496253</v>
      </c>
      <c r="H810" s="10">
        <f t="shared" ca="1" si="92"/>
        <v>11</v>
      </c>
    </row>
    <row r="811" spans="1:8">
      <c r="A811" s="8">
        <v>806</v>
      </c>
      <c r="B811" s="14">
        <f t="shared" ca="1" si="86"/>
        <v>0.20944600100294142</v>
      </c>
      <c r="C811" s="8" t="str">
        <f t="shared" ca="1" si="87"/>
        <v>Navegación</v>
      </c>
      <c r="D811" s="14">
        <f t="shared" ca="1" si="88"/>
        <v>0.56240476682319751</v>
      </c>
      <c r="E811" s="8">
        <f t="shared" ca="1" si="89"/>
        <v>3</v>
      </c>
      <c r="F811" s="8">
        <f t="shared" ca="1" si="90"/>
        <v>2</v>
      </c>
      <c r="G811" s="14">
        <f t="shared" ca="1" si="91"/>
        <v>0.78634646982114731</v>
      </c>
      <c r="H811" s="8">
        <f t="shared" ca="1" si="92"/>
        <v>15</v>
      </c>
    </row>
    <row r="812" spans="1:8">
      <c r="A812" s="8">
        <v>807</v>
      </c>
      <c r="B812" s="9">
        <f t="shared" ca="1" si="86"/>
        <v>0.66244917508716872</v>
      </c>
      <c r="C812" s="10" t="str">
        <f t="shared" ca="1" si="87"/>
        <v>Carrito</v>
      </c>
      <c r="D812" s="9">
        <f t="shared" ca="1" si="88"/>
        <v>0.53433948227013384</v>
      </c>
      <c r="E812" s="10">
        <f t="shared" ca="1" si="89"/>
        <v>3</v>
      </c>
      <c r="F812" s="10">
        <f t="shared" ca="1" si="90"/>
        <v>4</v>
      </c>
      <c r="G812" s="9">
        <f t="shared" ca="1" si="91"/>
        <v>0.88068338547888514</v>
      </c>
      <c r="H812" s="10">
        <f t="shared" ca="1" si="92"/>
        <v>16</v>
      </c>
    </row>
    <row r="813" spans="1:8">
      <c r="A813" s="8">
        <v>808</v>
      </c>
      <c r="B813" s="14">
        <f t="shared" ca="1" si="86"/>
        <v>0.49218479516000591</v>
      </c>
      <c r="C813" s="8" t="str">
        <f t="shared" ca="1" si="87"/>
        <v>Navegación</v>
      </c>
      <c r="D813" s="14">
        <f t="shared" ca="1" si="88"/>
        <v>0.79279299922452262</v>
      </c>
      <c r="E813" s="8">
        <f t="shared" ca="1" si="89"/>
        <v>4</v>
      </c>
      <c r="F813" s="8">
        <f t="shared" ca="1" si="90"/>
        <v>4</v>
      </c>
      <c r="G813" s="14">
        <f t="shared" ca="1" si="91"/>
        <v>0.3484299447296697</v>
      </c>
      <c r="H813" s="8">
        <f t="shared" ca="1" si="92"/>
        <v>11</v>
      </c>
    </row>
    <row r="814" spans="1:8">
      <c r="A814" s="8">
        <v>809</v>
      </c>
      <c r="B814" s="9">
        <f t="shared" ca="1" si="86"/>
        <v>0.19954165056889561</v>
      </c>
      <c r="C814" s="10" t="str">
        <f t="shared" ca="1" si="87"/>
        <v>Navegación</v>
      </c>
      <c r="D814" s="9">
        <f t="shared" ca="1" si="88"/>
        <v>2.6451565601949056E-2</v>
      </c>
      <c r="E814" s="10">
        <f t="shared" ca="1" si="89"/>
        <v>1</v>
      </c>
      <c r="F814" s="10">
        <f t="shared" ca="1" si="90"/>
        <v>2</v>
      </c>
      <c r="G814" s="9">
        <f t="shared" ca="1" si="91"/>
        <v>0.81655673509972193</v>
      </c>
      <c r="H814" s="10">
        <f t="shared" ca="1" si="92"/>
        <v>15</v>
      </c>
    </row>
    <row r="815" spans="1:8">
      <c r="A815" s="8">
        <v>810</v>
      </c>
      <c r="B815" s="14">
        <f t="shared" ca="1" si="86"/>
        <v>0.48075457083615558</v>
      </c>
      <c r="C815" s="8" t="str">
        <f t="shared" ca="1" si="87"/>
        <v>Navegación</v>
      </c>
      <c r="D815" s="14">
        <f t="shared" ca="1" si="88"/>
        <v>0.64810541309115577</v>
      </c>
      <c r="E815" s="8">
        <f t="shared" ca="1" si="89"/>
        <v>4</v>
      </c>
      <c r="F815" s="8">
        <f t="shared" ca="1" si="90"/>
        <v>4</v>
      </c>
      <c r="G815" s="14">
        <f t="shared" ca="1" si="91"/>
        <v>0.43244117662016324</v>
      </c>
      <c r="H815" s="8">
        <f t="shared" ca="1" si="92"/>
        <v>11</v>
      </c>
    </row>
    <row r="816" spans="1:8">
      <c r="A816" s="8">
        <v>811</v>
      </c>
      <c r="B816" s="9">
        <f t="shared" ca="1" si="86"/>
        <v>0.20510939365683989</v>
      </c>
      <c r="C816" s="10" t="str">
        <f t="shared" ca="1" si="87"/>
        <v>Navegación</v>
      </c>
      <c r="D816" s="9">
        <f t="shared" ca="1" si="88"/>
        <v>0.68706520280593308</v>
      </c>
      <c r="E816" s="10">
        <f t="shared" ca="1" si="89"/>
        <v>4</v>
      </c>
      <c r="F816" s="10">
        <f t="shared" ca="1" si="90"/>
        <v>2</v>
      </c>
      <c r="G816" s="9">
        <f t="shared" ca="1" si="91"/>
        <v>0.22147894670640511</v>
      </c>
      <c r="H816" s="10">
        <f t="shared" ca="1" si="92"/>
        <v>9</v>
      </c>
    </row>
    <row r="817" spans="1:8">
      <c r="A817" s="8">
        <v>812</v>
      </c>
      <c r="B817" s="14">
        <f t="shared" ca="1" si="86"/>
        <v>0.97642092182460938</v>
      </c>
      <c r="C817" s="8" t="str">
        <f t="shared" ca="1" si="87"/>
        <v>Checkout</v>
      </c>
      <c r="D817" s="14">
        <f t="shared" ca="1" si="88"/>
        <v>0.70088011066578315</v>
      </c>
      <c r="E817" s="8">
        <f t="shared" ca="1" si="89"/>
        <v>4</v>
      </c>
      <c r="F817" s="8">
        <f t="shared" ca="1" si="90"/>
        <v>3</v>
      </c>
      <c r="G817" s="14">
        <f t="shared" ca="1" si="91"/>
        <v>0.98885804804826904</v>
      </c>
      <c r="H817" s="8">
        <f t="shared" ca="1" si="92"/>
        <v>21</v>
      </c>
    </row>
    <row r="818" spans="1:8">
      <c r="A818" s="8">
        <v>813</v>
      </c>
      <c r="B818" s="9">
        <f t="shared" ca="1" si="86"/>
        <v>0.97795756068852857</v>
      </c>
      <c r="C818" s="10" t="str">
        <f t="shared" ca="1" si="87"/>
        <v>Checkout</v>
      </c>
      <c r="D818" s="9">
        <f t="shared" ca="1" si="88"/>
        <v>0.10840957874067902</v>
      </c>
      <c r="E818" s="10">
        <f t="shared" ca="1" si="89"/>
        <v>1</v>
      </c>
      <c r="F818" s="10">
        <f t="shared" ca="1" si="90"/>
        <v>4</v>
      </c>
      <c r="G818" s="9">
        <f t="shared" ca="1" si="91"/>
        <v>0.59244466487000891</v>
      </c>
      <c r="H818" s="10">
        <f t="shared" ca="1" si="92"/>
        <v>13</v>
      </c>
    </row>
    <row r="819" spans="1:8">
      <c r="A819" s="8">
        <v>814</v>
      </c>
      <c r="B819" s="14">
        <f t="shared" ca="1" si="86"/>
        <v>0.89394976664230774</v>
      </c>
      <c r="C819" s="8" t="str">
        <f t="shared" ca="1" si="87"/>
        <v>Checkout</v>
      </c>
      <c r="D819" s="14">
        <f t="shared" ca="1" si="88"/>
        <v>0.83023281353359657</v>
      </c>
      <c r="E819" s="8">
        <f t="shared" ca="1" si="89"/>
        <v>5</v>
      </c>
      <c r="F819" s="8">
        <f t="shared" ca="1" si="90"/>
        <v>3</v>
      </c>
      <c r="G819" s="14">
        <f t="shared" ca="1" si="91"/>
        <v>0.41141712853513679</v>
      </c>
      <c r="H819" s="8">
        <f t="shared" ca="1" si="92"/>
        <v>11</v>
      </c>
    </row>
    <row r="820" spans="1:8">
      <c r="A820" s="8">
        <v>815</v>
      </c>
      <c r="B820" s="9">
        <f t="shared" ca="1" si="86"/>
        <v>0.14907930233257216</v>
      </c>
      <c r="C820" s="10" t="str">
        <f t="shared" ca="1" si="87"/>
        <v>Navegación</v>
      </c>
      <c r="D820" s="9">
        <f t="shared" ca="1" si="88"/>
        <v>0.19306507083198987</v>
      </c>
      <c r="E820" s="10">
        <f t="shared" ca="1" si="89"/>
        <v>1</v>
      </c>
      <c r="F820" s="10">
        <f t="shared" ca="1" si="90"/>
        <v>1</v>
      </c>
      <c r="G820" s="9">
        <f t="shared" ca="1" si="91"/>
        <v>6.4842441434449061E-2</v>
      </c>
      <c r="H820" s="10">
        <f t="shared" ca="1" si="92"/>
        <v>7</v>
      </c>
    </row>
    <row r="821" spans="1:8">
      <c r="A821" s="8">
        <v>816</v>
      </c>
      <c r="B821" s="14">
        <f t="shared" ca="1" si="86"/>
        <v>0.77851558989866654</v>
      </c>
      <c r="C821" s="8" t="str">
        <f t="shared" ca="1" si="87"/>
        <v>Carrito</v>
      </c>
      <c r="D821" s="14">
        <f t="shared" ca="1" si="88"/>
        <v>0.5433677495494712</v>
      </c>
      <c r="E821" s="8">
        <f t="shared" ca="1" si="89"/>
        <v>3</v>
      </c>
      <c r="F821" s="8">
        <f t="shared" ca="1" si="90"/>
        <v>1</v>
      </c>
      <c r="G821" s="14">
        <f t="shared" ca="1" si="91"/>
        <v>0.67524847861075166</v>
      </c>
      <c r="H821" s="8">
        <f t="shared" ca="1" si="92"/>
        <v>13</v>
      </c>
    </row>
    <row r="822" spans="1:8">
      <c r="A822" s="8">
        <v>817</v>
      </c>
      <c r="B822" s="9">
        <f t="shared" ca="1" si="86"/>
        <v>0.47283011585966583</v>
      </c>
      <c r="C822" s="10" t="str">
        <f t="shared" ca="1" si="87"/>
        <v>Navegación</v>
      </c>
      <c r="D822" s="9">
        <f t="shared" ca="1" si="88"/>
        <v>0.66324324468233331</v>
      </c>
      <c r="E822" s="10">
        <f t="shared" ca="1" si="89"/>
        <v>4</v>
      </c>
      <c r="F822" s="10">
        <f t="shared" ca="1" si="90"/>
        <v>4</v>
      </c>
      <c r="G822" s="9">
        <f t="shared" ca="1" si="91"/>
        <v>0.20895305868451353</v>
      </c>
      <c r="H822" s="10">
        <f t="shared" ca="1" si="92"/>
        <v>9</v>
      </c>
    </row>
    <row r="823" spans="1:8">
      <c r="A823" s="8">
        <v>818</v>
      </c>
      <c r="B823" s="14">
        <f t="shared" ca="1" si="86"/>
        <v>0.65850967099113633</v>
      </c>
      <c r="C823" s="8" t="str">
        <f t="shared" ca="1" si="87"/>
        <v>Carrito</v>
      </c>
      <c r="D823" s="14">
        <f t="shared" ca="1" si="88"/>
        <v>0.50848002799910985</v>
      </c>
      <c r="E823" s="8">
        <f t="shared" ca="1" si="89"/>
        <v>3</v>
      </c>
      <c r="F823" s="8">
        <f t="shared" ca="1" si="90"/>
        <v>2</v>
      </c>
      <c r="G823" s="14">
        <f t="shared" ca="1" si="91"/>
        <v>0.58738855851633365</v>
      </c>
      <c r="H823" s="8">
        <f t="shared" ca="1" si="92"/>
        <v>13</v>
      </c>
    </row>
    <row r="824" spans="1:8">
      <c r="A824" s="8">
        <v>819</v>
      </c>
      <c r="B824" s="9">
        <f t="shared" ca="1" si="86"/>
        <v>0.22682123246005115</v>
      </c>
      <c r="C824" s="10" t="str">
        <f t="shared" ca="1" si="87"/>
        <v>Navegación</v>
      </c>
      <c r="D824" s="9">
        <f t="shared" ca="1" si="88"/>
        <v>0.69677070999175439</v>
      </c>
      <c r="E824" s="10">
        <f t="shared" ca="1" si="89"/>
        <v>4</v>
      </c>
      <c r="F824" s="10">
        <f t="shared" ca="1" si="90"/>
        <v>3</v>
      </c>
      <c r="G824" s="9">
        <f t="shared" ca="1" si="91"/>
        <v>0.68498607988731441</v>
      </c>
      <c r="H824" s="10">
        <f t="shared" ca="1" si="92"/>
        <v>14</v>
      </c>
    </row>
    <row r="825" spans="1:8">
      <c r="A825" s="8">
        <v>820</v>
      </c>
      <c r="B825" s="14">
        <f t="shared" ca="1" si="86"/>
        <v>0.63663963731499329</v>
      </c>
      <c r="C825" s="8" t="str">
        <f t="shared" ca="1" si="87"/>
        <v>Carrito</v>
      </c>
      <c r="D825" s="14">
        <f t="shared" ca="1" si="88"/>
        <v>0.4392772172827617</v>
      </c>
      <c r="E825" s="8">
        <f t="shared" ca="1" si="89"/>
        <v>3</v>
      </c>
      <c r="F825" s="8">
        <f t="shared" ca="1" si="90"/>
        <v>2</v>
      </c>
      <c r="G825" s="14">
        <f t="shared" ca="1" si="91"/>
        <v>0.55881165783761799</v>
      </c>
      <c r="H825" s="8">
        <f t="shared" ca="1" si="92"/>
        <v>12</v>
      </c>
    </row>
    <row r="826" spans="1:8">
      <c r="A826" s="8">
        <v>821</v>
      </c>
      <c r="B826" s="9">
        <f t="shared" ca="1" si="86"/>
        <v>0.84082141044575887</v>
      </c>
      <c r="C826" s="10" t="str">
        <f t="shared" ca="1" si="87"/>
        <v>Carrito</v>
      </c>
      <c r="D826" s="9">
        <f t="shared" ca="1" si="88"/>
        <v>0.26530625142140851</v>
      </c>
      <c r="E826" s="10">
        <f t="shared" ca="1" si="89"/>
        <v>2</v>
      </c>
      <c r="F826" s="10">
        <f t="shared" ca="1" si="90"/>
        <v>1</v>
      </c>
      <c r="G826" s="9">
        <f t="shared" ca="1" si="91"/>
        <v>0.3345768993460323</v>
      </c>
      <c r="H826" s="10">
        <f t="shared" ca="1" si="92"/>
        <v>10</v>
      </c>
    </row>
    <row r="827" spans="1:8">
      <c r="A827" s="8">
        <v>822</v>
      </c>
      <c r="B827" s="14">
        <f t="shared" ca="1" si="86"/>
        <v>0.84350585640866405</v>
      </c>
      <c r="C827" s="8" t="str">
        <f t="shared" ca="1" si="87"/>
        <v>Carrito</v>
      </c>
      <c r="D827" s="14">
        <f t="shared" ca="1" si="88"/>
        <v>0.81298880981968435</v>
      </c>
      <c r="E827" s="8">
        <f t="shared" ca="1" si="89"/>
        <v>5</v>
      </c>
      <c r="F827" s="8">
        <f t="shared" ca="1" si="90"/>
        <v>2</v>
      </c>
      <c r="G827" s="14">
        <f t="shared" ca="1" si="91"/>
        <v>0.66893067891654145</v>
      </c>
      <c r="H827" s="8">
        <f t="shared" ca="1" si="92"/>
        <v>13</v>
      </c>
    </row>
    <row r="828" spans="1:8">
      <c r="A828" s="8">
        <v>823</v>
      </c>
      <c r="B828" s="9">
        <f t="shared" ca="1" si="86"/>
        <v>0.89647111100929044</v>
      </c>
      <c r="C828" s="10" t="str">
        <f t="shared" ca="1" si="87"/>
        <v>Checkout</v>
      </c>
      <c r="D828" s="9">
        <f t="shared" ca="1" si="88"/>
        <v>0.25578061310123579</v>
      </c>
      <c r="E828" s="10">
        <f t="shared" ca="1" si="89"/>
        <v>2</v>
      </c>
      <c r="F828" s="10">
        <f t="shared" ca="1" si="90"/>
        <v>4</v>
      </c>
      <c r="G828" s="9">
        <f t="shared" ca="1" si="91"/>
        <v>0.71248393823402534</v>
      </c>
      <c r="H828" s="10">
        <f t="shared" ca="1" si="92"/>
        <v>14</v>
      </c>
    </row>
    <row r="829" spans="1:8">
      <c r="A829" s="8">
        <v>824</v>
      </c>
      <c r="B829" s="14">
        <f t="shared" ca="1" si="86"/>
        <v>7.6503267609219217E-3</v>
      </c>
      <c r="C829" s="8" t="str">
        <f t="shared" ca="1" si="87"/>
        <v>Navegación</v>
      </c>
      <c r="D829" s="14">
        <f t="shared" ca="1" si="88"/>
        <v>0.40906301723477201</v>
      </c>
      <c r="E829" s="8">
        <f t="shared" ca="1" si="89"/>
        <v>3</v>
      </c>
      <c r="F829" s="8">
        <f t="shared" ca="1" si="90"/>
        <v>2</v>
      </c>
      <c r="G829" s="14">
        <f t="shared" ca="1" si="91"/>
        <v>0.24179280683843207</v>
      </c>
      <c r="H829" s="8">
        <f t="shared" ca="1" si="92"/>
        <v>9</v>
      </c>
    </row>
    <row r="830" spans="1:8">
      <c r="A830" s="8">
        <v>825</v>
      </c>
      <c r="B830" s="9">
        <f t="shared" ca="1" si="86"/>
        <v>0.84041106101258267</v>
      </c>
      <c r="C830" s="10" t="str">
        <f t="shared" ca="1" si="87"/>
        <v>Carrito</v>
      </c>
      <c r="D830" s="9">
        <f t="shared" ca="1" si="88"/>
        <v>0.41061500319883815</v>
      </c>
      <c r="E830" s="10">
        <f t="shared" ca="1" si="89"/>
        <v>3</v>
      </c>
      <c r="F830" s="10">
        <f t="shared" ca="1" si="90"/>
        <v>2</v>
      </c>
      <c r="G830" s="9">
        <f t="shared" ca="1" si="91"/>
        <v>7.6531223462694475E-2</v>
      </c>
      <c r="H830" s="10">
        <f t="shared" ca="1" si="92"/>
        <v>7</v>
      </c>
    </row>
    <row r="831" spans="1:8">
      <c r="A831" s="8">
        <v>826</v>
      </c>
      <c r="B831" s="14">
        <f t="shared" ca="1" si="86"/>
        <v>0.73016918231128658</v>
      </c>
      <c r="C831" s="8" t="str">
        <f t="shared" ca="1" si="87"/>
        <v>Carrito</v>
      </c>
      <c r="D831" s="14">
        <f t="shared" ca="1" si="88"/>
        <v>5.0782656900707157E-2</v>
      </c>
      <c r="E831" s="8">
        <f t="shared" ca="1" si="89"/>
        <v>1</v>
      </c>
      <c r="F831" s="8">
        <f t="shared" ca="1" si="90"/>
        <v>1</v>
      </c>
      <c r="G831" s="14">
        <f t="shared" ca="1" si="91"/>
        <v>0.15656820568590823</v>
      </c>
      <c r="H831" s="8">
        <f t="shared" ca="1" si="92"/>
        <v>9</v>
      </c>
    </row>
    <row r="832" spans="1:8">
      <c r="A832" s="8">
        <v>827</v>
      </c>
      <c r="B832" s="9">
        <f t="shared" ca="1" si="86"/>
        <v>0.3534409389448514</v>
      </c>
      <c r="C832" s="10" t="str">
        <f t="shared" ca="1" si="87"/>
        <v>Navegación</v>
      </c>
      <c r="D832" s="9">
        <f t="shared" ca="1" si="88"/>
        <v>0.24360418008277407</v>
      </c>
      <c r="E832" s="10">
        <f t="shared" ca="1" si="89"/>
        <v>2</v>
      </c>
      <c r="F832" s="10">
        <f t="shared" ca="1" si="90"/>
        <v>5</v>
      </c>
      <c r="G832" s="9">
        <f t="shared" ca="1" si="91"/>
        <v>0.85420426531171101</v>
      </c>
      <c r="H832" s="10">
        <f t="shared" ca="1" si="92"/>
        <v>16</v>
      </c>
    </row>
    <row r="833" spans="1:8">
      <c r="A833" s="8">
        <v>828</v>
      </c>
      <c r="B833" s="14">
        <f t="shared" ca="1" si="86"/>
        <v>0.55450024094327777</v>
      </c>
      <c r="C833" s="8" t="str">
        <f t="shared" ca="1" si="87"/>
        <v>Carrito</v>
      </c>
      <c r="D833" s="14">
        <f t="shared" ca="1" si="88"/>
        <v>0.46827455070875179</v>
      </c>
      <c r="E833" s="8">
        <f t="shared" ca="1" si="89"/>
        <v>3</v>
      </c>
      <c r="F833" s="8">
        <f t="shared" ca="1" si="90"/>
        <v>1</v>
      </c>
      <c r="G833" s="14">
        <f t="shared" ca="1" si="91"/>
        <v>0.81700075799672722</v>
      </c>
      <c r="H833" s="8">
        <f t="shared" ca="1" si="92"/>
        <v>15</v>
      </c>
    </row>
    <row r="834" spans="1:8">
      <c r="A834" s="8">
        <v>829</v>
      </c>
      <c r="B834" s="9">
        <f t="shared" ca="1" si="86"/>
        <v>0.71427346172833561</v>
      </c>
      <c r="C834" s="10" t="str">
        <f t="shared" ca="1" si="87"/>
        <v>Carrito</v>
      </c>
      <c r="D834" s="9">
        <f t="shared" ca="1" si="88"/>
        <v>0.37005499390844909</v>
      </c>
      <c r="E834" s="10">
        <f t="shared" ca="1" si="89"/>
        <v>2</v>
      </c>
      <c r="F834" s="10">
        <f t="shared" ca="1" si="90"/>
        <v>4</v>
      </c>
      <c r="G834" s="9">
        <f t="shared" ca="1" si="91"/>
        <v>0.65767361560263471</v>
      </c>
      <c r="H834" s="10">
        <f t="shared" ca="1" si="92"/>
        <v>13</v>
      </c>
    </row>
    <row r="835" spans="1:8">
      <c r="A835" s="8">
        <v>830</v>
      </c>
      <c r="B835" s="14">
        <f t="shared" ca="1" si="86"/>
        <v>0.43057310313977115</v>
      </c>
      <c r="C835" s="8" t="str">
        <f t="shared" ca="1" si="87"/>
        <v>Navegación</v>
      </c>
      <c r="D835" s="14">
        <f t="shared" ca="1" si="88"/>
        <v>0.30326648865727046</v>
      </c>
      <c r="E835" s="8">
        <f t="shared" ca="1" si="89"/>
        <v>2</v>
      </c>
      <c r="F835" s="8">
        <f t="shared" ca="1" si="90"/>
        <v>3</v>
      </c>
      <c r="G835" s="14">
        <f t="shared" ca="1" si="91"/>
        <v>0.63139901407949861</v>
      </c>
      <c r="H835" s="8">
        <f t="shared" ca="1" si="92"/>
        <v>13</v>
      </c>
    </row>
    <row r="836" spans="1:8">
      <c r="A836" s="8">
        <v>831</v>
      </c>
      <c r="B836" s="9">
        <f t="shared" ca="1" si="86"/>
        <v>0.74818214661128046</v>
      </c>
      <c r="C836" s="10" t="str">
        <f t="shared" ca="1" si="87"/>
        <v>Carrito</v>
      </c>
      <c r="D836" s="9">
        <f t="shared" ca="1" si="88"/>
        <v>0.65246079374146349</v>
      </c>
      <c r="E836" s="10">
        <f t="shared" ca="1" si="89"/>
        <v>4</v>
      </c>
      <c r="F836" s="10">
        <f t="shared" ca="1" si="90"/>
        <v>3</v>
      </c>
      <c r="G836" s="9">
        <f t="shared" ca="1" si="91"/>
        <v>0.42178869152721399</v>
      </c>
      <c r="H836" s="10">
        <f t="shared" ca="1" si="92"/>
        <v>11</v>
      </c>
    </row>
    <row r="837" spans="1:8">
      <c r="A837" s="8">
        <v>832</v>
      </c>
      <c r="B837" s="14">
        <f t="shared" ca="1" si="86"/>
        <v>0.10744962306789674</v>
      </c>
      <c r="C837" s="8" t="str">
        <f t="shared" ca="1" si="87"/>
        <v>Navegación</v>
      </c>
      <c r="D837" s="14">
        <f t="shared" ca="1" si="88"/>
        <v>0.79280135777833372</v>
      </c>
      <c r="E837" s="8">
        <f t="shared" ca="1" si="89"/>
        <v>4</v>
      </c>
      <c r="F837" s="8">
        <f t="shared" ca="1" si="90"/>
        <v>4</v>
      </c>
      <c r="G837" s="14">
        <f t="shared" ca="1" si="91"/>
        <v>9.0361213756654291E-2</v>
      </c>
      <c r="H837" s="8">
        <f t="shared" ca="1" si="92"/>
        <v>8</v>
      </c>
    </row>
    <row r="838" spans="1:8">
      <c r="A838" s="8">
        <v>833</v>
      </c>
      <c r="B838" s="9">
        <f t="shared" ref="B838:B901" ca="1" si="93">RAND()</f>
        <v>0.42672839563722043</v>
      </c>
      <c r="C838" s="10" t="str">
        <f t="shared" ref="C838:C901" ca="1" si="94">VLOOKUP(B838, $J$6:$K$8, 2, TRUE)</f>
        <v>Navegación</v>
      </c>
      <c r="D838" s="9">
        <f t="shared" ref="D838:D901" ca="1" si="95">RAND()</f>
        <v>0.23101631842275627</v>
      </c>
      <c r="E838" s="10">
        <f t="shared" ref="E838:E901" ca="1" si="96">INT(D838*($O$7-$O$6+1))+$O$6</f>
        <v>2</v>
      </c>
      <c r="F838" s="10">
        <f t="shared" ref="F838:F901" ca="1" si="97">RANDBETWEEN($O$6, $O$7)</f>
        <v>5</v>
      </c>
      <c r="G838" s="9">
        <f t="shared" ref="G838:G901" ca="1" si="98">RAND()</f>
        <v>0.81046617885809058</v>
      </c>
      <c r="H838" s="10">
        <f t="shared" ref="H838:H901" ca="1" si="99">VLOOKUP(G838, $W$5:$X$39, 2, TRUE)</f>
        <v>15</v>
      </c>
    </row>
    <row r="839" spans="1:8">
      <c r="A839" s="8">
        <v>834</v>
      </c>
      <c r="B839" s="14">
        <f t="shared" ca="1" si="93"/>
        <v>0.96495687920658002</v>
      </c>
      <c r="C839" s="8" t="str">
        <f t="shared" ca="1" si="94"/>
        <v>Checkout</v>
      </c>
      <c r="D839" s="14">
        <f t="shared" ca="1" si="95"/>
        <v>1.4671061844935274E-2</v>
      </c>
      <c r="E839" s="8">
        <f t="shared" ca="1" si="96"/>
        <v>1</v>
      </c>
      <c r="F839" s="8">
        <f t="shared" ca="1" si="97"/>
        <v>3</v>
      </c>
      <c r="G839" s="14">
        <f t="shared" ca="1" si="98"/>
        <v>0.79716318834320998</v>
      </c>
      <c r="H839" s="8">
        <f t="shared" ca="1" si="99"/>
        <v>15</v>
      </c>
    </row>
    <row r="840" spans="1:8">
      <c r="A840" s="8">
        <v>835</v>
      </c>
      <c r="B840" s="9">
        <f t="shared" ca="1" si="93"/>
        <v>0.94450324396400975</v>
      </c>
      <c r="C840" s="10" t="str">
        <f t="shared" ca="1" si="94"/>
        <v>Checkout</v>
      </c>
      <c r="D840" s="9">
        <f t="shared" ca="1" si="95"/>
        <v>0.25660005058532798</v>
      </c>
      <c r="E840" s="10">
        <f t="shared" ca="1" si="96"/>
        <v>2</v>
      </c>
      <c r="F840" s="10">
        <f t="shared" ca="1" si="97"/>
        <v>2</v>
      </c>
      <c r="G840" s="9">
        <f t="shared" ca="1" si="98"/>
        <v>0.16454271774622442</v>
      </c>
      <c r="H840" s="10">
        <f t="shared" ca="1" si="99"/>
        <v>9</v>
      </c>
    </row>
    <row r="841" spans="1:8">
      <c r="A841" s="8">
        <v>836</v>
      </c>
      <c r="B841" s="14">
        <f t="shared" ca="1" si="93"/>
        <v>0.34456567881711908</v>
      </c>
      <c r="C841" s="8" t="str">
        <f t="shared" ca="1" si="94"/>
        <v>Navegación</v>
      </c>
      <c r="D841" s="14">
        <f t="shared" ca="1" si="95"/>
        <v>0.2123494624648995</v>
      </c>
      <c r="E841" s="8">
        <f t="shared" ca="1" si="96"/>
        <v>2</v>
      </c>
      <c r="F841" s="8">
        <f t="shared" ca="1" si="97"/>
        <v>5</v>
      </c>
      <c r="G841" s="14">
        <f t="shared" ca="1" si="98"/>
        <v>0.24713086671062345</v>
      </c>
      <c r="H841" s="8">
        <f t="shared" ca="1" si="99"/>
        <v>10</v>
      </c>
    </row>
    <row r="842" spans="1:8">
      <c r="A842" s="8">
        <v>837</v>
      </c>
      <c r="B842" s="9">
        <f t="shared" ca="1" si="93"/>
        <v>5.9920429890252924E-2</v>
      </c>
      <c r="C842" s="10" t="str">
        <f t="shared" ca="1" si="94"/>
        <v>Navegación</v>
      </c>
      <c r="D842" s="9">
        <f t="shared" ca="1" si="95"/>
        <v>0.48088181217842108</v>
      </c>
      <c r="E842" s="10">
        <f t="shared" ca="1" si="96"/>
        <v>3</v>
      </c>
      <c r="F842" s="10">
        <f t="shared" ca="1" si="97"/>
        <v>2</v>
      </c>
      <c r="G842" s="9">
        <f t="shared" ca="1" si="98"/>
        <v>0.20374891255074901</v>
      </c>
      <c r="H842" s="10">
        <f t="shared" ca="1" si="99"/>
        <v>9</v>
      </c>
    </row>
    <row r="843" spans="1:8">
      <c r="A843" s="8">
        <v>838</v>
      </c>
      <c r="B843" s="14">
        <f t="shared" ca="1" si="93"/>
        <v>0.51469298650405626</v>
      </c>
      <c r="C843" s="8" t="str">
        <f t="shared" ca="1" si="94"/>
        <v>Navegación</v>
      </c>
      <c r="D843" s="14">
        <f t="shared" ca="1" si="95"/>
        <v>0.49592373621427965</v>
      </c>
      <c r="E843" s="8">
        <f t="shared" ca="1" si="96"/>
        <v>3</v>
      </c>
      <c r="F843" s="8">
        <f t="shared" ca="1" si="97"/>
        <v>1</v>
      </c>
      <c r="G843" s="14">
        <f t="shared" ca="1" si="98"/>
        <v>0.77976862318094275</v>
      </c>
      <c r="H843" s="8">
        <f t="shared" ca="1" si="99"/>
        <v>15</v>
      </c>
    </row>
    <row r="844" spans="1:8">
      <c r="A844" s="8">
        <v>839</v>
      </c>
      <c r="B844" s="9">
        <f t="shared" ca="1" si="93"/>
        <v>0.49357138910185461</v>
      </c>
      <c r="C844" s="10" t="str">
        <f t="shared" ca="1" si="94"/>
        <v>Navegación</v>
      </c>
      <c r="D844" s="9">
        <f t="shared" ca="1" si="95"/>
        <v>0.34046511637413024</v>
      </c>
      <c r="E844" s="10">
        <f t="shared" ca="1" si="96"/>
        <v>2</v>
      </c>
      <c r="F844" s="10">
        <f t="shared" ca="1" si="97"/>
        <v>3</v>
      </c>
      <c r="G844" s="9">
        <f t="shared" ca="1" si="98"/>
        <v>0.92209270118338504</v>
      </c>
      <c r="H844" s="10">
        <f t="shared" ca="1" si="99"/>
        <v>17</v>
      </c>
    </row>
    <row r="845" spans="1:8">
      <c r="A845" s="8">
        <v>840</v>
      </c>
      <c r="B845" s="14">
        <f t="shared" ca="1" si="93"/>
        <v>0.19957199114279389</v>
      </c>
      <c r="C845" s="8" t="str">
        <f t="shared" ca="1" si="94"/>
        <v>Navegación</v>
      </c>
      <c r="D845" s="14">
        <f t="shared" ca="1" si="95"/>
        <v>0.47551281004103929</v>
      </c>
      <c r="E845" s="8">
        <f t="shared" ca="1" si="96"/>
        <v>3</v>
      </c>
      <c r="F845" s="8">
        <f t="shared" ca="1" si="97"/>
        <v>4</v>
      </c>
      <c r="G845" s="14">
        <f t="shared" ca="1" si="98"/>
        <v>0.66752876176880416</v>
      </c>
      <c r="H845" s="8">
        <f t="shared" ca="1" si="99"/>
        <v>13</v>
      </c>
    </row>
    <row r="846" spans="1:8">
      <c r="A846" s="8">
        <v>841</v>
      </c>
      <c r="B846" s="9">
        <f t="shared" ca="1" si="93"/>
        <v>0.98495532123333973</v>
      </c>
      <c r="C846" s="10" t="str">
        <f t="shared" ca="1" si="94"/>
        <v>Checkout</v>
      </c>
      <c r="D846" s="9">
        <f t="shared" ca="1" si="95"/>
        <v>0.65309559515177318</v>
      </c>
      <c r="E846" s="10">
        <f t="shared" ca="1" si="96"/>
        <v>4</v>
      </c>
      <c r="F846" s="10">
        <f t="shared" ca="1" si="97"/>
        <v>4</v>
      </c>
      <c r="G846" s="9">
        <f t="shared" ca="1" si="98"/>
        <v>0.6031180316956688</v>
      </c>
      <c r="H846" s="10">
        <f t="shared" ca="1" si="99"/>
        <v>13</v>
      </c>
    </row>
    <row r="847" spans="1:8">
      <c r="A847" s="8">
        <v>842</v>
      </c>
      <c r="B847" s="14">
        <f t="shared" ca="1" si="93"/>
        <v>0.78615401086284442</v>
      </c>
      <c r="C847" s="8" t="str">
        <f t="shared" ca="1" si="94"/>
        <v>Carrito</v>
      </c>
      <c r="D847" s="14">
        <f t="shared" ca="1" si="95"/>
        <v>6.2131035921655586E-2</v>
      </c>
      <c r="E847" s="8">
        <f t="shared" ca="1" si="96"/>
        <v>1</v>
      </c>
      <c r="F847" s="8">
        <f t="shared" ca="1" si="97"/>
        <v>2</v>
      </c>
      <c r="G847" s="14">
        <f t="shared" ca="1" si="98"/>
        <v>2.5854913912175759E-2</v>
      </c>
      <c r="H847" s="8">
        <f t="shared" ca="1" si="99"/>
        <v>6</v>
      </c>
    </row>
    <row r="848" spans="1:8">
      <c r="A848" s="8">
        <v>843</v>
      </c>
      <c r="B848" s="9">
        <f t="shared" ca="1" si="93"/>
        <v>0.73596357136139701</v>
      </c>
      <c r="C848" s="10" t="str">
        <f t="shared" ca="1" si="94"/>
        <v>Carrito</v>
      </c>
      <c r="D848" s="9">
        <f t="shared" ca="1" si="95"/>
        <v>0.1346598308539434</v>
      </c>
      <c r="E848" s="10">
        <f t="shared" ca="1" si="96"/>
        <v>1</v>
      </c>
      <c r="F848" s="10">
        <f t="shared" ca="1" si="97"/>
        <v>4</v>
      </c>
      <c r="G848" s="9">
        <f t="shared" ca="1" si="98"/>
        <v>3.9095867349856261E-2</v>
      </c>
      <c r="H848" s="10">
        <f t="shared" ca="1" si="99"/>
        <v>6</v>
      </c>
    </row>
    <row r="849" spans="1:8">
      <c r="A849" s="8">
        <v>844</v>
      </c>
      <c r="B849" s="14">
        <f t="shared" ca="1" si="93"/>
        <v>0.84655994416178271</v>
      </c>
      <c r="C849" s="8" t="str">
        <f t="shared" ca="1" si="94"/>
        <v>Carrito</v>
      </c>
      <c r="D849" s="14">
        <f t="shared" ca="1" si="95"/>
        <v>0.86864010311108342</v>
      </c>
      <c r="E849" s="8">
        <f t="shared" ca="1" si="96"/>
        <v>5</v>
      </c>
      <c r="F849" s="8">
        <f t="shared" ca="1" si="97"/>
        <v>4</v>
      </c>
      <c r="G849" s="14">
        <f t="shared" ca="1" si="98"/>
        <v>0.62744893096671661</v>
      </c>
      <c r="H849" s="8">
        <f t="shared" ca="1" si="99"/>
        <v>13</v>
      </c>
    </row>
    <row r="850" spans="1:8">
      <c r="A850" s="8">
        <v>845</v>
      </c>
      <c r="B850" s="9">
        <f t="shared" ca="1" si="93"/>
        <v>0.25518552642422976</v>
      </c>
      <c r="C850" s="10" t="str">
        <f t="shared" ca="1" si="94"/>
        <v>Navegación</v>
      </c>
      <c r="D850" s="9">
        <f t="shared" ca="1" si="95"/>
        <v>0.53384695824598616</v>
      </c>
      <c r="E850" s="10">
        <f t="shared" ca="1" si="96"/>
        <v>3</v>
      </c>
      <c r="F850" s="10">
        <f t="shared" ca="1" si="97"/>
        <v>2</v>
      </c>
      <c r="G850" s="9">
        <f t="shared" ca="1" si="98"/>
        <v>0.54324588577838073</v>
      </c>
      <c r="H850" s="10">
        <f t="shared" ca="1" si="99"/>
        <v>12</v>
      </c>
    </row>
    <row r="851" spans="1:8">
      <c r="A851" s="8">
        <v>846</v>
      </c>
      <c r="B851" s="14">
        <f t="shared" ca="1" si="93"/>
        <v>0.37098135736895832</v>
      </c>
      <c r="C851" s="8" t="str">
        <f t="shared" ca="1" si="94"/>
        <v>Navegación</v>
      </c>
      <c r="D851" s="14">
        <f t="shared" ca="1" si="95"/>
        <v>0.69456874674000846</v>
      </c>
      <c r="E851" s="8">
        <f t="shared" ca="1" si="96"/>
        <v>4</v>
      </c>
      <c r="F851" s="8">
        <f t="shared" ca="1" si="97"/>
        <v>1</v>
      </c>
      <c r="G851" s="14">
        <f t="shared" ca="1" si="98"/>
        <v>6.9190121476387811E-2</v>
      </c>
      <c r="H851" s="8">
        <f t="shared" ca="1" si="99"/>
        <v>7</v>
      </c>
    </row>
    <row r="852" spans="1:8">
      <c r="A852" s="8">
        <v>847</v>
      </c>
      <c r="B852" s="9">
        <f t="shared" ca="1" si="93"/>
        <v>0.41282696690678877</v>
      </c>
      <c r="C852" s="10" t="str">
        <f t="shared" ca="1" si="94"/>
        <v>Navegación</v>
      </c>
      <c r="D852" s="9">
        <f t="shared" ca="1" si="95"/>
        <v>0.75499178851089932</v>
      </c>
      <c r="E852" s="10">
        <f t="shared" ca="1" si="96"/>
        <v>4</v>
      </c>
      <c r="F852" s="10">
        <f t="shared" ca="1" si="97"/>
        <v>5</v>
      </c>
      <c r="G852" s="9">
        <f t="shared" ca="1" si="98"/>
        <v>0.80246817429170725</v>
      </c>
      <c r="H852" s="10">
        <f t="shared" ca="1" si="99"/>
        <v>15</v>
      </c>
    </row>
    <row r="853" spans="1:8">
      <c r="A853" s="8">
        <v>848</v>
      </c>
      <c r="B853" s="14">
        <f t="shared" ca="1" si="93"/>
        <v>0.58310560963136226</v>
      </c>
      <c r="C853" s="8" t="str">
        <f t="shared" ca="1" si="94"/>
        <v>Carrito</v>
      </c>
      <c r="D853" s="14">
        <f t="shared" ca="1" si="95"/>
        <v>0.31711510059735915</v>
      </c>
      <c r="E853" s="8">
        <f t="shared" ca="1" si="96"/>
        <v>2</v>
      </c>
      <c r="F853" s="8">
        <f t="shared" ca="1" si="97"/>
        <v>2</v>
      </c>
      <c r="G853" s="14">
        <f t="shared" ca="1" si="98"/>
        <v>0.41833993084264343</v>
      </c>
      <c r="H853" s="8">
        <f t="shared" ca="1" si="99"/>
        <v>11</v>
      </c>
    </row>
    <row r="854" spans="1:8">
      <c r="A854" s="8">
        <v>849</v>
      </c>
      <c r="B854" s="9">
        <f t="shared" ca="1" si="93"/>
        <v>0.15250626783235455</v>
      </c>
      <c r="C854" s="10" t="str">
        <f t="shared" ca="1" si="94"/>
        <v>Navegación</v>
      </c>
      <c r="D854" s="9">
        <f t="shared" ca="1" si="95"/>
        <v>9.5560085734094913E-2</v>
      </c>
      <c r="E854" s="10">
        <f t="shared" ca="1" si="96"/>
        <v>1</v>
      </c>
      <c r="F854" s="10">
        <f t="shared" ca="1" si="97"/>
        <v>2</v>
      </c>
      <c r="G854" s="9">
        <f t="shared" ca="1" si="98"/>
        <v>0.91390818021156461</v>
      </c>
      <c r="H854" s="10">
        <f t="shared" ca="1" si="99"/>
        <v>17</v>
      </c>
    </row>
    <row r="855" spans="1:8">
      <c r="A855" s="8">
        <v>850</v>
      </c>
      <c r="B855" s="14">
        <f t="shared" ca="1" si="93"/>
        <v>0.99717082646195287</v>
      </c>
      <c r="C855" s="8" t="str">
        <f t="shared" ca="1" si="94"/>
        <v>Checkout</v>
      </c>
      <c r="D855" s="14">
        <f t="shared" ca="1" si="95"/>
        <v>8.8853515878233091E-2</v>
      </c>
      <c r="E855" s="8">
        <f t="shared" ca="1" si="96"/>
        <v>1</v>
      </c>
      <c r="F855" s="8">
        <f t="shared" ca="1" si="97"/>
        <v>2</v>
      </c>
      <c r="G855" s="14">
        <f t="shared" ca="1" si="98"/>
        <v>6.1633722061291141E-2</v>
      </c>
      <c r="H855" s="8">
        <f t="shared" ca="1" si="99"/>
        <v>7</v>
      </c>
    </row>
    <row r="856" spans="1:8">
      <c r="A856" s="8">
        <v>851</v>
      </c>
      <c r="B856" s="9">
        <f t="shared" ca="1" si="93"/>
        <v>0.8654670510252811</v>
      </c>
      <c r="C856" s="10" t="str">
        <f t="shared" ca="1" si="94"/>
        <v>Checkout</v>
      </c>
      <c r="D856" s="9">
        <f t="shared" ca="1" si="95"/>
        <v>0.94503806347394881</v>
      </c>
      <c r="E856" s="10">
        <f t="shared" ca="1" si="96"/>
        <v>5</v>
      </c>
      <c r="F856" s="10">
        <f t="shared" ca="1" si="97"/>
        <v>1</v>
      </c>
      <c r="G856" s="9">
        <f t="shared" ca="1" si="98"/>
        <v>0.45163816695476144</v>
      </c>
      <c r="H856" s="10">
        <f t="shared" ca="1" si="99"/>
        <v>11</v>
      </c>
    </row>
    <row r="857" spans="1:8">
      <c r="A857" s="8">
        <v>852</v>
      </c>
      <c r="B857" s="14">
        <f t="shared" ca="1" si="93"/>
        <v>0.87030141883403644</v>
      </c>
      <c r="C857" s="8" t="str">
        <f t="shared" ca="1" si="94"/>
        <v>Checkout</v>
      </c>
      <c r="D857" s="14">
        <f t="shared" ca="1" si="95"/>
        <v>7.9939850167590754E-2</v>
      </c>
      <c r="E857" s="8">
        <f t="shared" ca="1" si="96"/>
        <v>1</v>
      </c>
      <c r="F857" s="8">
        <f t="shared" ca="1" si="97"/>
        <v>3</v>
      </c>
      <c r="G857" s="14">
        <f t="shared" ca="1" si="98"/>
        <v>0.50510887751503486</v>
      </c>
      <c r="H857" s="8">
        <f t="shared" ca="1" si="99"/>
        <v>12</v>
      </c>
    </row>
    <row r="858" spans="1:8">
      <c r="A858" s="8">
        <v>853</v>
      </c>
      <c r="B858" s="9">
        <f t="shared" ca="1" si="93"/>
        <v>0.71910674864729851</v>
      </c>
      <c r="C858" s="10" t="str">
        <f t="shared" ca="1" si="94"/>
        <v>Carrito</v>
      </c>
      <c r="D858" s="9">
        <f t="shared" ca="1" si="95"/>
        <v>0.18403520399940521</v>
      </c>
      <c r="E858" s="10">
        <f t="shared" ca="1" si="96"/>
        <v>1</v>
      </c>
      <c r="F858" s="10">
        <f t="shared" ca="1" si="97"/>
        <v>1</v>
      </c>
      <c r="G858" s="9">
        <f t="shared" ca="1" si="98"/>
        <v>0.19592739995964448</v>
      </c>
      <c r="H858" s="10">
        <f t="shared" ca="1" si="99"/>
        <v>9</v>
      </c>
    </row>
    <row r="859" spans="1:8">
      <c r="A859" s="8">
        <v>854</v>
      </c>
      <c r="B859" s="14">
        <f t="shared" ca="1" si="93"/>
        <v>0.60447799074084629</v>
      </c>
      <c r="C859" s="8" t="str">
        <f t="shared" ca="1" si="94"/>
        <v>Carrito</v>
      </c>
      <c r="D859" s="14">
        <f t="shared" ca="1" si="95"/>
        <v>0.91601858448535523</v>
      </c>
      <c r="E859" s="8">
        <f t="shared" ca="1" si="96"/>
        <v>5</v>
      </c>
      <c r="F859" s="8">
        <f t="shared" ca="1" si="97"/>
        <v>1</v>
      </c>
      <c r="G859" s="14">
        <f t="shared" ca="1" si="98"/>
        <v>0.44674280447725789</v>
      </c>
      <c r="H859" s="8">
        <f t="shared" ca="1" si="99"/>
        <v>11</v>
      </c>
    </row>
    <row r="860" spans="1:8">
      <c r="A860" s="8">
        <v>855</v>
      </c>
      <c r="B860" s="9">
        <f t="shared" ca="1" si="93"/>
        <v>6.6529597609295998E-2</v>
      </c>
      <c r="C860" s="10" t="str">
        <f t="shared" ca="1" si="94"/>
        <v>Navegación</v>
      </c>
      <c r="D860" s="9">
        <f t="shared" ca="1" si="95"/>
        <v>0.73520366400956583</v>
      </c>
      <c r="E860" s="10">
        <f t="shared" ca="1" si="96"/>
        <v>4</v>
      </c>
      <c r="F860" s="10">
        <f t="shared" ca="1" si="97"/>
        <v>1</v>
      </c>
      <c r="G860" s="9">
        <f t="shared" ca="1" si="98"/>
        <v>0.87138455394227521</v>
      </c>
      <c r="H860" s="10">
        <f t="shared" ca="1" si="99"/>
        <v>16</v>
      </c>
    </row>
    <row r="861" spans="1:8">
      <c r="A861" s="8">
        <v>856</v>
      </c>
      <c r="B861" s="14">
        <f t="shared" ca="1" si="93"/>
        <v>0.30141031180095257</v>
      </c>
      <c r="C861" s="8" t="str">
        <f t="shared" ca="1" si="94"/>
        <v>Navegación</v>
      </c>
      <c r="D861" s="14">
        <f t="shared" ca="1" si="95"/>
        <v>0.12777676195476873</v>
      </c>
      <c r="E861" s="8">
        <f t="shared" ca="1" si="96"/>
        <v>1</v>
      </c>
      <c r="F861" s="8">
        <f t="shared" ca="1" si="97"/>
        <v>2</v>
      </c>
      <c r="G861" s="14">
        <f t="shared" ca="1" si="98"/>
        <v>0.61976869923924049</v>
      </c>
      <c r="H861" s="8">
        <f t="shared" ca="1" si="99"/>
        <v>13</v>
      </c>
    </row>
    <row r="862" spans="1:8">
      <c r="A862" s="8">
        <v>857</v>
      </c>
      <c r="B862" s="9">
        <f t="shared" ca="1" si="93"/>
        <v>0.257708610878704</v>
      </c>
      <c r="C862" s="10" t="str">
        <f t="shared" ca="1" si="94"/>
        <v>Navegación</v>
      </c>
      <c r="D862" s="9">
        <f t="shared" ca="1" si="95"/>
        <v>0.94492779530644166</v>
      </c>
      <c r="E862" s="10">
        <f t="shared" ca="1" si="96"/>
        <v>5</v>
      </c>
      <c r="F862" s="10">
        <f t="shared" ca="1" si="97"/>
        <v>2</v>
      </c>
      <c r="G862" s="9">
        <f t="shared" ca="1" si="98"/>
        <v>0.85497115446569327</v>
      </c>
      <c r="H862" s="10">
        <f t="shared" ca="1" si="99"/>
        <v>16</v>
      </c>
    </row>
    <row r="863" spans="1:8">
      <c r="A863" s="8">
        <v>858</v>
      </c>
      <c r="B863" s="14">
        <f t="shared" ca="1" si="93"/>
        <v>3.6795842833239889E-2</v>
      </c>
      <c r="C863" s="8" t="str">
        <f t="shared" ca="1" si="94"/>
        <v>Navegación</v>
      </c>
      <c r="D863" s="14">
        <f t="shared" ca="1" si="95"/>
        <v>9.1610158316079993E-4</v>
      </c>
      <c r="E863" s="8">
        <f t="shared" ca="1" si="96"/>
        <v>1</v>
      </c>
      <c r="F863" s="8">
        <f t="shared" ca="1" si="97"/>
        <v>5</v>
      </c>
      <c r="G863" s="14">
        <f t="shared" ca="1" si="98"/>
        <v>0.92939891127522789</v>
      </c>
      <c r="H863" s="8">
        <f t="shared" ca="1" si="99"/>
        <v>17</v>
      </c>
    </row>
    <row r="864" spans="1:8">
      <c r="A864" s="8">
        <v>859</v>
      </c>
      <c r="B864" s="9">
        <f t="shared" ca="1" si="93"/>
        <v>2.2614235878922639E-2</v>
      </c>
      <c r="C864" s="10" t="str">
        <f t="shared" ca="1" si="94"/>
        <v>Navegación</v>
      </c>
      <c r="D864" s="9">
        <f t="shared" ca="1" si="95"/>
        <v>0.75534576766455508</v>
      </c>
      <c r="E864" s="10">
        <f t="shared" ca="1" si="96"/>
        <v>4</v>
      </c>
      <c r="F864" s="10">
        <f t="shared" ca="1" si="97"/>
        <v>5</v>
      </c>
      <c r="G864" s="9">
        <f t="shared" ca="1" si="98"/>
        <v>0.7960943260056893</v>
      </c>
      <c r="H864" s="10">
        <f t="shared" ca="1" si="99"/>
        <v>15</v>
      </c>
    </row>
    <row r="865" spans="1:8">
      <c r="A865" s="8">
        <v>860</v>
      </c>
      <c r="B865" s="14">
        <f t="shared" ca="1" si="93"/>
        <v>4.4577413807767363E-2</v>
      </c>
      <c r="C865" s="8" t="str">
        <f t="shared" ca="1" si="94"/>
        <v>Navegación</v>
      </c>
      <c r="D865" s="14">
        <f t="shared" ca="1" si="95"/>
        <v>0.53314133622944981</v>
      </c>
      <c r="E865" s="8">
        <f t="shared" ca="1" si="96"/>
        <v>3</v>
      </c>
      <c r="F865" s="8">
        <f t="shared" ca="1" si="97"/>
        <v>4</v>
      </c>
      <c r="G865" s="14">
        <f t="shared" ca="1" si="98"/>
        <v>0.30636911245871057</v>
      </c>
      <c r="H865" s="8">
        <f t="shared" ca="1" si="99"/>
        <v>10</v>
      </c>
    </row>
    <row r="866" spans="1:8">
      <c r="A866" s="8">
        <v>861</v>
      </c>
      <c r="B866" s="9">
        <f t="shared" ca="1" si="93"/>
        <v>0.38786493704483305</v>
      </c>
      <c r="C866" s="10" t="str">
        <f t="shared" ca="1" si="94"/>
        <v>Navegación</v>
      </c>
      <c r="D866" s="9">
        <f t="shared" ca="1" si="95"/>
        <v>0.83227596298682283</v>
      </c>
      <c r="E866" s="10">
        <f t="shared" ca="1" si="96"/>
        <v>5</v>
      </c>
      <c r="F866" s="10">
        <f t="shared" ca="1" si="97"/>
        <v>2</v>
      </c>
      <c r="G866" s="9">
        <f t="shared" ca="1" si="98"/>
        <v>0.9065079260853024</v>
      </c>
      <c r="H866" s="10">
        <f t="shared" ca="1" si="99"/>
        <v>17</v>
      </c>
    </row>
    <row r="867" spans="1:8">
      <c r="A867" s="8">
        <v>862</v>
      </c>
      <c r="B867" s="14">
        <f t="shared" ca="1" si="93"/>
        <v>0.17600387676454299</v>
      </c>
      <c r="C867" s="8" t="str">
        <f t="shared" ca="1" si="94"/>
        <v>Navegación</v>
      </c>
      <c r="D867" s="14">
        <f t="shared" ca="1" si="95"/>
        <v>0.69272369316212967</v>
      </c>
      <c r="E867" s="8">
        <f t="shared" ca="1" si="96"/>
        <v>4</v>
      </c>
      <c r="F867" s="8">
        <f t="shared" ca="1" si="97"/>
        <v>2</v>
      </c>
      <c r="G867" s="14">
        <f t="shared" ca="1" si="98"/>
        <v>0.66686938673737717</v>
      </c>
      <c r="H867" s="8">
        <f t="shared" ca="1" si="99"/>
        <v>13</v>
      </c>
    </row>
    <row r="868" spans="1:8">
      <c r="A868" s="8">
        <v>863</v>
      </c>
      <c r="B868" s="9">
        <f t="shared" ca="1" si="93"/>
        <v>0.18942265126917801</v>
      </c>
      <c r="C868" s="10" t="str">
        <f t="shared" ca="1" si="94"/>
        <v>Navegación</v>
      </c>
      <c r="D868" s="9">
        <f t="shared" ca="1" si="95"/>
        <v>0.87021783389418317</v>
      </c>
      <c r="E868" s="10">
        <f t="shared" ca="1" si="96"/>
        <v>5</v>
      </c>
      <c r="F868" s="10">
        <f t="shared" ca="1" si="97"/>
        <v>4</v>
      </c>
      <c r="G868" s="9">
        <f t="shared" ca="1" si="98"/>
        <v>0.694747959800051</v>
      </c>
      <c r="H868" s="10">
        <f t="shared" ca="1" si="99"/>
        <v>14</v>
      </c>
    </row>
    <row r="869" spans="1:8">
      <c r="A869" s="8">
        <v>864</v>
      </c>
      <c r="B869" s="14">
        <f t="shared" ca="1" si="93"/>
        <v>0.58496142501377535</v>
      </c>
      <c r="C869" s="8" t="str">
        <f t="shared" ca="1" si="94"/>
        <v>Carrito</v>
      </c>
      <c r="D869" s="14">
        <f t="shared" ca="1" si="95"/>
        <v>0.44501582508949167</v>
      </c>
      <c r="E869" s="8">
        <f t="shared" ca="1" si="96"/>
        <v>3</v>
      </c>
      <c r="F869" s="8">
        <f t="shared" ca="1" si="97"/>
        <v>5</v>
      </c>
      <c r="G869" s="14">
        <f t="shared" ca="1" si="98"/>
        <v>0.5351666810629182</v>
      </c>
      <c r="H869" s="8">
        <f t="shared" ca="1" si="99"/>
        <v>12</v>
      </c>
    </row>
    <row r="870" spans="1:8">
      <c r="A870" s="8">
        <v>865</v>
      </c>
      <c r="B870" s="9">
        <f t="shared" ca="1" si="93"/>
        <v>0.56188612077605593</v>
      </c>
      <c r="C870" s="10" t="str">
        <f t="shared" ca="1" si="94"/>
        <v>Carrito</v>
      </c>
      <c r="D870" s="9">
        <f t="shared" ca="1" si="95"/>
        <v>0.74573866362715202</v>
      </c>
      <c r="E870" s="10">
        <f t="shared" ca="1" si="96"/>
        <v>4</v>
      </c>
      <c r="F870" s="10">
        <f t="shared" ca="1" si="97"/>
        <v>5</v>
      </c>
      <c r="G870" s="9">
        <f t="shared" ca="1" si="98"/>
        <v>0.39964671125973128</v>
      </c>
      <c r="H870" s="10">
        <f t="shared" ca="1" si="99"/>
        <v>11</v>
      </c>
    </row>
    <row r="871" spans="1:8">
      <c r="A871" s="8">
        <v>866</v>
      </c>
      <c r="B871" s="14">
        <f t="shared" ca="1" si="93"/>
        <v>0.34474344839708126</v>
      </c>
      <c r="C871" s="8" t="str">
        <f t="shared" ca="1" si="94"/>
        <v>Navegación</v>
      </c>
      <c r="D871" s="14">
        <f t="shared" ca="1" si="95"/>
        <v>0.21721484572568217</v>
      </c>
      <c r="E871" s="8">
        <f t="shared" ca="1" si="96"/>
        <v>2</v>
      </c>
      <c r="F871" s="8">
        <f t="shared" ca="1" si="97"/>
        <v>2</v>
      </c>
      <c r="G871" s="14">
        <f t="shared" ca="1" si="98"/>
        <v>0.2044564088228833</v>
      </c>
      <c r="H871" s="8">
        <f t="shared" ca="1" si="99"/>
        <v>9</v>
      </c>
    </row>
    <row r="872" spans="1:8">
      <c r="A872" s="8">
        <v>867</v>
      </c>
      <c r="B872" s="9">
        <f t="shared" ca="1" si="93"/>
        <v>0.20520442989373244</v>
      </c>
      <c r="C872" s="10" t="str">
        <f t="shared" ca="1" si="94"/>
        <v>Navegación</v>
      </c>
      <c r="D872" s="9">
        <f t="shared" ca="1" si="95"/>
        <v>0.81224461811128601</v>
      </c>
      <c r="E872" s="10">
        <f t="shared" ca="1" si="96"/>
        <v>5</v>
      </c>
      <c r="F872" s="10">
        <f t="shared" ca="1" si="97"/>
        <v>1</v>
      </c>
      <c r="G872" s="9">
        <f t="shared" ca="1" si="98"/>
        <v>0.2170279927653318</v>
      </c>
      <c r="H872" s="10">
        <f t="shared" ca="1" si="99"/>
        <v>9</v>
      </c>
    </row>
    <row r="873" spans="1:8">
      <c r="A873" s="8">
        <v>868</v>
      </c>
      <c r="B873" s="14">
        <f t="shared" ca="1" si="93"/>
        <v>0.49948199889144207</v>
      </c>
      <c r="C873" s="8" t="str">
        <f t="shared" ca="1" si="94"/>
        <v>Navegación</v>
      </c>
      <c r="D873" s="14">
        <f t="shared" ca="1" si="95"/>
        <v>0.65931597789894003</v>
      </c>
      <c r="E873" s="8">
        <f t="shared" ca="1" si="96"/>
        <v>4</v>
      </c>
      <c r="F873" s="8">
        <f t="shared" ca="1" si="97"/>
        <v>1</v>
      </c>
      <c r="G873" s="14">
        <f t="shared" ca="1" si="98"/>
        <v>0.97626268949374251</v>
      </c>
      <c r="H873" s="8">
        <f t="shared" ca="1" si="99"/>
        <v>19</v>
      </c>
    </row>
    <row r="874" spans="1:8">
      <c r="A874" s="8">
        <v>869</v>
      </c>
      <c r="B874" s="9">
        <f t="shared" ca="1" si="93"/>
        <v>0.10647333381200785</v>
      </c>
      <c r="C874" s="10" t="str">
        <f t="shared" ca="1" si="94"/>
        <v>Navegación</v>
      </c>
      <c r="D874" s="9">
        <f t="shared" ca="1" si="95"/>
        <v>0.34525467887283456</v>
      </c>
      <c r="E874" s="10">
        <f t="shared" ca="1" si="96"/>
        <v>2</v>
      </c>
      <c r="F874" s="10">
        <f t="shared" ca="1" si="97"/>
        <v>3</v>
      </c>
      <c r="G874" s="9">
        <f t="shared" ca="1" si="98"/>
        <v>0.52322264234257532</v>
      </c>
      <c r="H874" s="10">
        <f t="shared" ca="1" si="99"/>
        <v>12</v>
      </c>
    </row>
    <row r="875" spans="1:8">
      <c r="A875" s="8">
        <v>870</v>
      </c>
      <c r="B875" s="14">
        <f t="shared" ca="1" si="93"/>
        <v>0.37719128499802634</v>
      </c>
      <c r="C875" s="8" t="str">
        <f t="shared" ca="1" si="94"/>
        <v>Navegación</v>
      </c>
      <c r="D875" s="14">
        <f t="shared" ca="1" si="95"/>
        <v>0.21726586850086482</v>
      </c>
      <c r="E875" s="8">
        <f t="shared" ca="1" si="96"/>
        <v>2</v>
      </c>
      <c r="F875" s="8">
        <f t="shared" ca="1" si="97"/>
        <v>4</v>
      </c>
      <c r="G875" s="14">
        <f t="shared" ca="1" si="98"/>
        <v>0.65992404889417666</v>
      </c>
      <c r="H875" s="8">
        <f t="shared" ca="1" si="99"/>
        <v>13</v>
      </c>
    </row>
    <row r="876" spans="1:8">
      <c r="A876" s="8">
        <v>871</v>
      </c>
      <c r="B876" s="9">
        <f t="shared" ca="1" si="93"/>
        <v>3.8026193660713026E-2</v>
      </c>
      <c r="C876" s="10" t="str">
        <f t="shared" ca="1" si="94"/>
        <v>Navegación</v>
      </c>
      <c r="D876" s="9">
        <f t="shared" ca="1" si="95"/>
        <v>0.15589481161938967</v>
      </c>
      <c r="E876" s="10">
        <f t="shared" ca="1" si="96"/>
        <v>1</v>
      </c>
      <c r="F876" s="10">
        <f t="shared" ca="1" si="97"/>
        <v>4</v>
      </c>
      <c r="G876" s="9">
        <f t="shared" ca="1" si="98"/>
        <v>0.41397137222521707</v>
      </c>
      <c r="H876" s="10">
        <f t="shared" ca="1" si="99"/>
        <v>11</v>
      </c>
    </row>
    <row r="877" spans="1:8">
      <c r="A877" s="8">
        <v>872</v>
      </c>
      <c r="B877" s="14">
        <f t="shared" ca="1" si="93"/>
        <v>0.64405580046653765</v>
      </c>
      <c r="C877" s="8" t="str">
        <f t="shared" ca="1" si="94"/>
        <v>Carrito</v>
      </c>
      <c r="D877" s="14">
        <f t="shared" ca="1" si="95"/>
        <v>0.75958839892291652</v>
      </c>
      <c r="E877" s="8">
        <f t="shared" ca="1" si="96"/>
        <v>4</v>
      </c>
      <c r="F877" s="8">
        <f t="shared" ca="1" si="97"/>
        <v>4</v>
      </c>
      <c r="G877" s="14">
        <f t="shared" ca="1" si="98"/>
        <v>0.54665541466024448</v>
      </c>
      <c r="H877" s="8">
        <f t="shared" ca="1" si="99"/>
        <v>12</v>
      </c>
    </row>
    <row r="878" spans="1:8">
      <c r="A878" s="8">
        <v>873</v>
      </c>
      <c r="B878" s="9">
        <f t="shared" ca="1" si="93"/>
        <v>0.13215533269077395</v>
      </c>
      <c r="C878" s="10" t="str">
        <f t="shared" ca="1" si="94"/>
        <v>Navegación</v>
      </c>
      <c r="D878" s="9">
        <f t="shared" ca="1" si="95"/>
        <v>0.41153378599178103</v>
      </c>
      <c r="E878" s="10">
        <f t="shared" ca="1" si="96"/>
        <v>3</v>
      </c>
      <c r="F878" s="10">
        <f t="shared" ca="1" si="97"/>
        <v>4</v>
      </c>
      <c r="G878" s="9">
        <f t="shared" ca="1" si="98"/>
        <v>1.3121911887302051E-2</v>
      </c>
      <c r="H878" s="10">
        <f t="shared" ca="1" si="99"/>
        <v>5</v>
      </c>
    </row>
    <row r="879" spans="1:8">
      <c r="A879" s="8">
        <v>874</v>
      </c>
      <c r="B879" s="14">
        <f t="shared" ca="1" si="93"/>
        <v>0.74519818255185255</v>
      </c>
      <c r="C879" s="8" t="str">
        <f t="shared" ca="1" si="94"/>
        <v>Carrito</v>
      </c>
      <c r="D879" s="14">
        <f t="shared" ca="1" si="95"/>
        <v>0.92748675739943442</v>
      </c>
      <c r="E879" s="8">
        <f t="shared" ca="1" si="96"/>
        <v>5</v>
      </c>
      <c r="F879" s="8">
        <f t="shared" ca="1" si="97"/>
        <v>2</v>
      </c>
      <c r="G879" s="14">
        <f t="shared" ca="1" si="98"/>
        <v>0.94635512541525968</v>
      </c>
      <c r="H879" s="8">
        <f t="shared" ca="1" si="99"/>
        <v>18</v>
      </c>
    </row>
    <row r="880" spans="1:8">
      <c r="A880" s="8">
        <v>875</v>
      </c>
      <c r="B880" s="9">
        <f t="shared" ca="1" si="93"/>
        <v>0.80555131583480422</v>
      </c>
      <c r="C880" s="10" t="str">
        <f t="shared" ca="1" si="94"/>
        <v>Carrito</v>
      </c>
      <c r="D880" s="9">
        <f t="shared" ca="1" si="95"/>
        <v>0.54301185350114545</v>
      </c>
      <c r="E880" s="10">
        <f t="shared" ca="1" si="96"/>
        <v>3</v>
      </c>
      <c r="F880" s="10">
        <f t="shared" ca="1" si="97"/>
        <v>1</v>
      </c>
      <c r="G880" s="9">
        <f t="shared" ca="1" si="98"/>
        <v>0.58193355838020544</v>
      </c>
      <c r="H880" s="10">
        <f t="shared" ca="1" si="99"/>
        <v>13</v>
      </c>
    </row>
    <row r="881" spans="1:8">
      <c r="A881" s="8">
        <v>876</v>
      </c>
      <c r="B881" s="14">
        <f t="shared" ca="1" si="93"/>
        <v>0.30643922247828481</v>
      </c>
      <c r="C881" s="8" t="str">
        <f t="shared" ca="1" si="94"/>
        <v>Navegación</v>
      </c>
      <c r="D881" s="14">
        <f t="shared" ca="1" si="95"/>
        <v>0.12107216907861951</v>
      </c>
      <c r="E881" s="8">
        <f t="shared" ca="1" si="96"/>
        <v>1</v>
      </c>
      <c r="F881" s="8">
        <f t="shared" ca="1" si="97"/>
        <v>2</v>
      </c>
      <c r="G881" s="14">
        <f t="shared" ca="1" si="98"/>
        <v>0.54471878191693135</v>
      </c>
      <c r="H881" s="8">
        <f t="shared" ca="1" si="99"/>
        <v>12</v>
      </c>
    </row>
    <row r="882" spans="1:8">
      <c r="A882" s="8">
        <v>877</v>
      </c>
      <c r="B882" s="9">
        <f t="shared" ca="1" si="93"/>
        <v>0.40299109009584244</v>
      </c>
      <c r="C882" s="10" t="str">
        <f t="shared" ca="1" si="94"/>
        <v>Navegación</v>
      </c>
      <c r="D882" s="9">
        <f t="shared" ca="1" si="95"/>
        <v>0.7675996685255192</v>
      </c>
      <c r="E882" s="10">
        <f t="shared" ca="1" si="96"/>
        <v>4</v>
      </c>
      <c r="F882" s="10">
        <f t="shared" ca="1" si="97"/>
        <v>3</v>
      </c>
      <c r="G882" s="9">
        <f t="shared" ca="1" si="98"/>
        <v>0.61053322414307298</v>
      </c>
      <c r="H882" s="10">
        <f t="shared" ca="1" si="99"/>
        <v>13</v>
      </c>
    </row>
    <row r="883" spans="1:8">
      <c r="A883" s="8">
        <v>878</v>
      </c>
      <c r="B883" s="14">
        <f t="shared" ca="1" si="93"/>
        <v>3.0420448106948106E-3</v>
      </c>
      <c r="C883" s="8" t="str">
        <f t="shared" ca="1" si="94"/>
        <v>Navegación</v>
      </c>
      <c r="D883" s="14">
        <f t="shared" ca="1" si="95"/>
        <v>0.40668592579931417</v>
      </c>
      <c r="E883" s="8">
        <f t="shared" ca="1" si="96"/>
        <v>3</v>
      </c>
      <c r="F883" s="8">
        <f t="shared" ca="1" si="97"/>
        <v>3</v>
      </c>
      <c r="G883" s="14">
        <f t="shared" ca="1" si="98"/>
        <v>7.5690324854379543E-2</v>
      </c>
      <c r="H883" s="8">
        <f t="shared" ca="1" si="99"/>
        <v>7</v>
      </c>
    </row>
    <row r="884" spans="1:8">
      <c r="A884" s="8">
        <v>879</v>
      </c>
      <c r="B884" s="9">
        <f t="shared" ca="1" si="93"/>
        <v>0.71171226222456163</v>
      </c>
      <c r="C884" s="10" t="str">
        <f t="shared" ca="1" si="94"/>
        <v>Carrito</v>
      </c>
      <c r="D884" s="9">
        <f t="shared" ca="1" si="95"/>
        <v>0.79027103113400776</v>
      </c>
      <c r="E884" s="10">
        <f t="shared" ca="1" si="96"/>
        <v>4</v>
      </c>
      <c r="F884" s="10">
        <f t="shared" ca="1" si="97"/>
        <v>5</v>
      </c>
      <c r="G884" s="9">
        <f t="shared" ca="1" si="98"/>
        <v>0.90060256150451001</v>
      </c>
      <c r="H884" s="10">
        <f t="shared" ca="1" si="99"/>
        <v>17</v>
      </c>
    </row>
    <row r="885" spans="1:8">
      <c r="A885" s="8">
        <v>880</v>
      </c>
      <c r="B885" s="14">
        <f t="shared" ca="1" si="93"/>
        <v>0.75908872512012171</v>
      </c>
      <c r="C885" s="8" t="str">
        <f t="shared" ca="1" si="94"/>
        <v>Carrito</v>
      </c>
      <c r="D885" s="14">
        <f t="shared" ca="1" si="95"/>
        <v>0.78486419617070169</v>
      </c>
      <c r="E885" s="8">
        <f t="shared" ca="1" si="96"/>
        <v>4</v>
      </c>
      <c r="F885" s="8">
        <f t="shared" ca="1" si="97"/>
        <v>2</v>
      </c>
      <c r="G885" s="14">
        <f t="shared" ca="1" si="98"/>
        <v>0.4846268122567795</v>
      </c>
      <c r="H885" s="8">
        <f t="shared" ca="1" si="99"/>
        <v>12</v>
      </c>
    </row>
    <row r="886" spans="1:8">
      <c r="A886" s="8">
        <v>881</v>
      </c>
      <c r="B886" s="9">
        <f t="shared" ca="1" si="93"/>
        <v>0.50107484126686685</v>
      </c>
      <c r="C886" s="10" t="str">
        <f t="shared" ca="1" si="94"/>
        <v>Navegación</v>
      </c>
      <c r="D886" s="9">
        <f t="shared" ca="1" si="95"/>
        <v>0.74656045435159357</v>
      </c>
      <c r="E886" s="10">
        <f t="shared" ca="1" si="96"/>
        <v>4</v>
      </c>
      <c r="F886" s="10">
        <f t="shared" ca="1" si="97"/>
        <v>1</v>
      </c>
      <c r="G886" s="9">
        <f t="shared" ca="1" si="98"/>
        <v>0.66430642496890713</v>
      </c>
      <c r="H886" s="10">
        <f t="shared" ca="1" si="99"/>
        <v>13</v>
      </c>
    </row>
    <row r="887" spans="1:8">
      <c r="A887" s="8">
        <v>882</v>
      </c>
      <c r="B887" s="14">
        <f t="shared" ca="1" si="93"/>
        <v>0.95577915897385224</v>
      </c>
      <c r="C887" s="8" t="str">
        <f t="shared" ca="1" si="94"/>
        <v>Checkout</v>
      </c>
      <c r="D887" s="14">
        <f t="shared" ca="1" si="95"/>
        <v>0.79694628843428172</v>
      </c>
      <c r="E887" s="8">
        <f t="shared" ca="1" si="96"/>
        <v>4</v>
      </c>
      <c r="F887" s="8">
        <f t="shared" ca="1" si="97"/>
        <v>5</v>
      </c>
      <c r="G887" s="14">
        <f t="shared" ca="1" si="98"/>
        <v>0.68058930017389019</v>
      </c>
      <c r="H887" s="8">
        <f t="shared" ca="1" si="99"/>
        <v>13</v>
      </c>
    </row>
    <row r="888" spans="1:8">
      <c r="A888" s="8">
        <v>883</v>
      </c>
      <c r="B888" s="9">
        <f t="shared" ca="1" si="93"/>
        <v>0.54273800290658947</v>
      </c>
      <c r="C888" s="10" t="str">
        <f t="shared" ca="1" si="94"/>
        <v>Navegación</v>
      </c>
      <c r="D888" s="9">
        <f t="shared" ca="1" si="95"/>
        <v>0.76186222150369687</v>
      </c>
      <c r="E888" s="10">
        <f t="shared" ca="1" si="96"/>
        <v>4</v>
      </c>
      <c r="F888" s="10">
        <f t="shared" ca="1" si="97"/>
        <v>3</v>
      </c>
      <c r="G888" s="9">
        <f t="shared" ca="1" si="98"/>
        <v>0.58974133690660724</v>
      </c>
      <c r="H888" s="10">
        <f t="shared" ca="1" si="99"/>
        <v>13</v>
      </c>
    </row>
    <row r="889" spans="1:8">
      <c r="A889" s="8">
        <v>884</v>
      </c>
      <c r="B889" s="14">
        <f t="shared" ca="1" si="93"/>
        <v>0.31191612920864376</v>
      </c>
      <c r="C889" s="8" t="str">
        <f t="shared" ca="1" si="94"/>
        <v>Navegación</v>
      </c>
      <c r="D889" s="14">
        <f t="shared" ca="1" si="95"/>
        <v>0.527193402736989</v>
      </c>
      <c r="E889" s="8">
        <f t="shared" ca="1" si="96"/>
        <v>3</v>
      </c>
      <c r="F889" s="8">
        <f t="shared" ca="1" si="97"/>
        <v>3</v>
      </c>
      <c r="G889" s="14">
        <f t="shared" ca="1" si="98"/>
        <v>4.5015351939127202E-2</v>
      </c>
      <c r="H889" s="8">
        <f t="shared" ca="1" si="99"/>
        <v>6</v>
      </c>
    </row>
    <row r="890" spans="1:8">
      <c r="A890" s="8">
        <v>885</v>
      </c>
      <c r="B890" s="9">
        <f t="shared" ca="1" si="93"/>
        <v>0.49917752038614749</v>
      </c>
      <c r="C890" s="10" t="str">
        <f t="shared" ca="1" si="94"/>
        <v>Navegación</v>
      </c>
      <c r="D890" s="9">
        <f t="shared" ca="1" si="95"/>
        <v>0.86620095974416889</v>
      </c>
      <c r="E890" s="10">
        <f t="shared" ca="1" si="96"/>
        <v>5</v>
      </c>
      <c r="F890" s="10">
        <f t="shared" ca="1" si="97"/>
        <v>2</v>
      </c>
      <c r="G890" s="9">
        <f t="shared" ca="1" si="98"/>
        <v>0.89657960225679711</v>
      </c>
      <c r="H890" s="10">
        <f t="shared" ca="1" si="99"/>
        <v>16</v>
      </c>
    </row>
    <row r="891" spans="1:8">
      <c r="A891" s="8">
        <v>886</v>
      </c>
      <c r="B891" s="14">
        <f t="shared" ca="1" si="93"/>
        <v>0.90053995519186425</v>
      </c>
      <c r="C891" s="8" t="str">
        <f t="shared" ca="1" si="94"/>
        <v>Checkout</v>
      </c>
      <c r="D891" s="14">
        <f t="shared" ca="1" si="95"/>
        <v>0.49240157712342159</v>
      </c>
      <c r="E891" s="8">
        <f t="shared" ca="1" si="96"/>
        <v>3</v>
      </c>
      <c r="F891" s="8">
        <f t="shared" ca="1" si="97"/>
        <v>5</v>
      </c>
      <c r="G891" s="14">
        <f t="shared" ca="1" si="98"/>
        <v>0.81471989125707867</v>
      </c>
      <c r="H891" s="8">
        <f t="shared" ca="1" si="99"/>
        <v>15</v>
      </c>
    </row>
    <row r="892" spans="1:8">
      <c r="A892" s="8">
        <v>887</v>
      </c>
      <c r="B892" s="9">
        <f t="shared" ca="1" si="93"/>
        <v>0.35923902027759136</v>
      </c>
      <c r="C892" s="10" t="str">
        <f t="shared" ca="1" si="94"/>
        <v>Navegación</v>
      </c>
      <c r="D892" s="9">
        <f t="shared" ca="1" si="95"/>
        <v>0.73752688267739086</v>
      </c>
      <c r="E892" s="10">
        <f t="shared" ca="1" si="96"/>
        <v>4</v>
      </c>
      <c r="F892" s="10">
        <f t="shared" ca="1" si="97"/>
        <v>4</v>
      </c>
      <c r="G892" s="9">
        <f t="shared" ca="1" si="98"/>
        <v>7.9078825295525679E-2</v>
      </c>
      <c r="H892" s="10">
        <f t="shared" ca="1" si="99"/>
        <v>7</v>
      </c>
    </row>
    <row r="893" spans="1:8">
      <c r="A893" s="8">
        <v>888</v>
      </c>
      <c r="B893" s="14">
        <f t="shared" ca="1" si="93"/>
        <v>0.31336771552649045</v>
      </c>
      <c r="C893" s="8" t="str">
        <f t="shared" ca="1" si="94"/>
        <v>Navegación</v>
      </c>
      <c r="D893" s="14">
        <f t="shared" ca="1" si="95"/>
        <v>0.10372246601168345</v>
      </c>
      <c r="E893" s="8">
        <f t="shared" ca="1" si="96"/>
        <v>1</v>
      </c>
      <c r="F893" s="8">
        <f t="shared" ca="1" si="97"/>
        <v>4</v>
      </c>
      <c r="G893" s="14">
        <f t="shared" ca="1" si="98"/>
        <v>0.96070005098599442</v>
      </c>
      <c r="H893" s="8">
        <f t="shared" ca="1" si="99"/>
        <v>18</v>
      </c>
    </row>
    <row r="894" spans="1:8">
      <c r="A894" s="8">
        <v>889</v>
      </c>
      <c r="B894" s="9">
        <f t="shared" ca="1" si="93"/>
        <v>0.9657587678905849</v>
      </c>
      <c r="C894" s="10" t="str">
        <f t="shared" ca="1" si="94"/>
        <v>Checkout</v>
      </c>
      <c r="D894" s="9">
        <f t="shared" ca="1" si="95"/>
        <v>8.2981922199433455E-2</v>
      </c>
      <c r="E894" s="10">
        <f t="shared" ca="1" si="96"/>
        <v>1</v>
      </c>
      <c r="F894" s="10">
        <f t="shared" ca="1" si="97"/>
        <v>4</v>
      </c>
      <c r="G894" s="9">
        <f t="shared" ca="1" si="98"/>
        <v>0.73755836067556291</v>
      </c>
      <c r="H894" s="10">
        <f t="shared" ca="1" si="99"/>
        <v>14</v>
      </c>
    </row>
    <row r="895" spans="1:8">
      <c r="A895" s="8">
        <v>890</v>
      </c>
      <c r="B895" s="14">
        <f t="shared" ca="1" si="93"/>
        <v>0.5423008072003026</v>
      </c>
      <c r="C895" s="8" t="str">
        <f t="shared" ca="1" si="94"/>
        <v>Navegación</v>
      </c>
      <c r="D895" s="14">
        <f t="shared" ca="1" si="95"/>
        <v>0.82699333926231999</v>
      </c>
      <c r="E895" s="8">
        <f t="shared" ca="1" si="96"/>
        <v>5</v>
      </c>
      <c r="F895" s="8">
        <f t="shared" ca="1" si="97"/>
        <v>5</v>
      </c>
      <c r="G895" s="14">
        <f t="shared" ca="1" si="98"/>
        <v>0.28532114292830613</v>
      </c>
      <c r="H895" s="8">
        <f t="shared" ca="1" si="99"/>
        <v>10</v>
      </c>
    </row>
    <row r="896" spans="1:8">
      <c r="A896" s="8">
        <v>891</v>
      </c>
      <c r="B896" s="9">
        <f t="shared" ca="1" si="93"/>
        <v>0.99091534780873336</v>
      </c>
      <c r="C896" s="10" t="str">
        <f t="shared" ca="1" si="94"/>
        <v>Checkout</v>
      </c>
      <c r="D896" s="9">
        <f t="shared" ca="1" si="95"/>
        <v>0.25559970928034603</v>
      </c>
      <c r="E896" s="10">
        <f t="shared" ca="1" si="96"/>
        <v>2</v>
      </c>
      <c r="F896" s="10">
        <f t="shared" ca="1" si="97"/>
        <v>4</v>
      </c>
      <c r="G896" s="9">
        <f t="shared" ca="1" si="98"/>
        <v>0.40916660773949809</v>
      </c>
      <c r="H896" s="10">
        <f t="shared" ca="1" si="99"/>
        <v>11</v>
      </c>
    </row>
    <row r="897" spans="1:8">
      <c r="A897" s="8">
        <v>892</v>
      </c>
      <c r="B897" s="14">
        <f t="shared" ca="1" si="93"/>
        <v>0.18656022259111427</v>
      </c>
      <c r="C897" s="8" t="str">
        <f t="shared" ca="1" si="94"/>
        <v>Navegación</v>
      </c>
      <c r="D897" s="14">
        <f t="shared" ca="1" si="95"/>
        <v>0.28027197722498665</v>
      </c>
      <c r="E897" s="8">
        <f t="shared" ca="1" si="96"/>
        <v>2</v>
      </c>
      <c r="F897" s="8">
        <f t="shared" ca="1" si="97"/>
        <v>2</v>
      </c>
      <c r="G897" s="14">
        <f t="shared" ca="1" si="98"/>
        <v>0.71294786194936255</v>
      </c>
      <c r="H897" s="8">
        <f t="shared" ca="1" si="99"/>
        <v>14</v>
      </c>
    </row>
    <row r="898" spans="1:8">
      <c r="A898" s="8">
        <v>893</v>
      </c>
      <c r="B898" s="9">
        <f t="shared" ca="1" si="93"/>
        <v>0.19583405996766623</v>
      </c>
      <c r="C898" s="10" t="str">
        <f t="shared" ca="1" si="94"/>
        <v>Navegación</v>
      </c>
      <c r="D898" s="9">
        <f t="shared" ca="1" si="95"/>
        <v>0.31330065161223963</v>
      </c>
      <c r="E898" s="10">
        <f t="shared" ca="1" si="96"/>
        <v>2</v>
      </c>
      <c r="F898" s="10">
        <f t="shared" ca="1" si="97"/>
        <v>3</v>
      </c>
      <c r="G898" s="9">
        <f t="shared" ca="1" si="98"/>
        <v>0.18782664720654896</v>
      </c>
      <c r="H898" s="10">
        <f t="shared" ca="1" si="99"/>
        <v>9</v>
      </c>
    </row>
    <row r="899" spans="1:8">
      <c r="A899" s="8">
        <v>894</v>
      </c>
      <c r="B899" s="14">
        <f t="shared" ca="1" si="93"/>
        <v>0.4251247233922294</v>
      </c>
      <c r="C899" s="8" t="str">
        <f t="shared" ca="1" si="94"/>
        <v>Navegación</v>
      </c>
      <c r="D899" s="14">
        <f t="shared" ca="1" si="95"/>
        <v>5.5205199848529229E-4</v>
      </c>
      <c r="E899" s="8">
        <f t="shared" ca="1" si="96"/>
        <v>1</v>
      </c>
      <c r="F899" s="8">
        <f t="shared" ca="1" si="97"/>
        <v>5</v>
      </c>
      <c r="G899" s="14">
        <f t="shared" ca="1" si="98"/>
        <v>0.50047083432386541</v>
      </c>
      <c r="H899" s="8">
        <f t="shared" ca="1" si="99"/>
        <v>12</v>
      </c>
    </row>
    <row r="900" spans="1:8">
      <c r="A900" s="8">
        <v>895</v>
      </c>
      <c r="B900" s="9">
        <f t="shared" ca="1" si="93"/>
        <v>0.92856368964592184</v>
      </c>
      <c r="C900" s="10" t="str">
        <f t="shared" ca="1" si="94"/>
        <v>Checkout</v>
      </c>
      <c r="D900" s="9">
        <f t="shared" ca="1" si="95"/>
        <v>0.78510097551665958</v>
      </c>
      <c r="E900" s="10">
        <f t="shared" ca="1" si="96"/>
        <v>4</v>
      </c>
      <c r="F900" s="10">
        <f t="shared" ca="1" si="97"/>
        <v>1</v>
      </c>
      <c r="G900" s="9">
        <f t="shared" ca="1" si="98"/>
        <v>7.5255419323811967E-2</v>
      </c>
      <c r="H900" s="10">
        <f t="shared" ca="1" si="99"/>
        <v>7</v>
      </c>
    </row>
    <row r="901" spans="1:8">
      <c r="A901" s="8">
        <v>896</v>
      </c>
      <c r="B901" s="14">
        <f t="shared" ca="1" si="93"/>
        <v>7.5740024288782126E-2</v>
      </c>
      <c r="C901" s="8" t="str">
        <f t="shared" ca="1" si="94"/>
        <v>Navegación</v>
      </c>
      <c r="D901" s="14">
        <f t="shared" ca="1" si="95"/>
        <v>0.66285080081226488</v>
      </c>
      <c r="E901" s="8">
        <f t="shared" ca="1" si="96"/>
        <v>4</v>
      </c>
      <c r="F901" s="8">
        <f t="shared" ca="1" si="97"/>
        <v>1</v>
      </c>
      <c r="G901" s="14">
        <f t="shared" ca="1" si="98"/>
        <v>0.11212988907266663</v>
      </c>
      <c r="H901" s="8">
        <f t="shared" ca="1" si="99"/>
        <v>8</v>
      </c>
    </row>
    <row r="902" spans="1:8">
      <c r="A902" s="8">
        <v>897</v>
      </c>
      <c r="B902" s="9">
        <f t="shared" ref="B902:B965" ca="1" si="100">RAND()</f>
        <v>0.83948304004066421</v>
      </c>
      <c r="C902" s="10" t="str">
        <f t="shared" ref="C902:C965" ca="1" si="101">VLOOKUP(B902, $J$6:$K$8, 2, TRUE)</f>
        <v>Carrito</v>
      </c>
      <c r="D902" s="9">
        <f t="shared" ref="D902:D965" ca="1" si="102">RAND()</f>
        <v>1.6608944018527971E-3</v>
      </c>
      <c r="E902" s="10">
        <f t="shared" ref="E902:E965" ca="1" si="103">INT(D902*($O$7-$O$6+1))+$O$6</f>
        <v>1</v>
      </c>
      <c r="F902" s="10">
        <f t="shared" ref="F902:F965" ca="1" si="104">RANDBETWEEN($O$6, $O$7)</f>
        <v>5</v>
      </c>
      <c r="G902" s="9">
        <f t="shared" ref="G902:G965" ca="1" si="105">RAND()</f>
        <v>6.6192179225103343E-2</v>
      </c>
      <c r="H902" s="10">
        <f t="shared" ref="H902:H965" ca="1" si="106">VLOOKUP(G902, $W$5:$X$39, 2, TRUE)</f>
        <v>7</v>
      </c>
    </row>
    <row r="903" spans="1:8">
      <c r="A903" s="8">
        <v>898</v>
      </c>
      <c r="B903" s="14">
        <f t="shared" ca="1" si="100"/>
        <v>0.77978928417787841</v>
      </c>
      <c r="C903" s="8" t="str">
        <f t="shared" ca="1" si="101"/>
        <v>Carrito</v>
      </c>
      <c r="D903" s="14">
        <f t="shared" ca="1" si="102"/>
        <v>0.50214121039555837</v>
      </c>
      <c r="E903" s="8">
        <f t="shared" ca="1" si="103"/>
        <v>3</v>
      </c>
      <c r="F903" s="8">
        <f t="shared" ca="1" si="104"/>
        <v>5</v>
      </c>
      <c r="G903" s="14">
        <f t="shared" ca="1" si="105"/>
        <v>0.85231759959603293</v>
      </c>
      <c r="H903" s="8">
        <f t="shared" ca="1" si="106"/>
        <v>16</v>
      </c>
    </row>
    <row r="904" spans="1:8">
      <c r="A904" s="8">
        <v>899</v>
      </c>
      <c r="B904" s="9">
        <f t="shared" ca="1" si="100"/>
        <v>0.47937846796110994</v>
      </c>
      <c r="C904" s="10" t="str">
        <f t="shared" ca="1" si="101"/>
        <v>Navegación</v>
      </c>
      <c r="D904" s="9">
        <f t="shared" ca="1" si="102"/>
        <v>0.42520222156104381</v>
      </c>
      <c r="E904" s="10">
        <f t="shared" ca="1" si="103"/>
        <v>3</v>
      </c>
      <c r="F904" s="10">
        <f t="shared" ca="1" si="104"/>
        <v>3</v>
      </c>
      <c r="G904" s="9">
        <f t="shared" ca="1" si="105"/>
        <v>0.27046843338566406</v>
      </c>
      <c r="H904" s="10">
        <f t="shared" ca="1" si="106"/>
        <v>10</v>
      </c>
    </row>
    <row r="905" spans="1:8">
      <c r="A905" s="8">
        <v>900</v>
      </c>
      <c r="B905" s="14">
        <f t="shared" ca="1" si="100"/>
        <v>0.32816880852140762</v>
      </c>
      <c r="C905" s="8" t="str">
        <f t="shared" ca="1" si="101"/>
        <v>Navegación</v>
      </c>
      <c r="D905" s="14">
        <f t="shared" ca="1" si="102"/>
        <v>0.10135504776301463</v>
      </c>
      <c r="E905" s="8">
        <f t="shared" ca="1" si="103"/>
        <v>1</v>
      </c>
      <c r="F905" s="8">
        <f t="shared" ca="1" si="104"/>
        <v>4</v>
      </c>
      <c r="G905" s="14">
        <f t="shared" ca="1" si="105"/>
        <v>0.3119501642161906</v>
      </c>
      <c r="H905" s="8">
        <f t="shared" ca="1" si="106"/>
        <v>10</v>
      </c>
    </row>
    <row r="906" spans="1:8">
      <c r="A906" s="8">
        <v>901</v>
      </c>
      <c r="B906" s="9">
        <f t="shared" ca="1" si="100"/>
        <v>0.22755537868633391</v>
      </c>
      <c r="C906" s="10" t="str">
        <f t="shared" ca="1" si="101"/>
        <v>Navegación</v>
      </c>
      <c r="D906" s="9">
        <f t="shared" ca="1" si="102"/>
        <v>0.87676770321176345</v>
      </c>
      <c r="E906" s="10">
        <f t="shared" ca="1" si="103"/>
        <v>5</v>
      </c>
      <c r="F906" s="10">
        <f t="shared" ca="1" si="104"/>
        <v>1</v>
      </c>
      <c r="G906" s="9">
        <f t="shared" ca="1" si="105"/>
        <v>1.891783491974719E-2</v>
      </c>
      <c r="H906" s="10">
        <f t="shared" ca="1" si="106"/>
        <v>5</v>
      </c>
    </row>
    <row r="907" spans="1:8">
      <c r="A907" s="8">
        <v>902</v>
      </c>
      <c r="B907" s="14">
        <f t="shared" ca="1" si="100"/>
        <v>0.54512098947165233</v>
      </c>
      <c r="C907" s="8" t="str">
        <f t="shared" ca="1" si="101"/>
        <v>Navegación</v>
      </c>
      <c r="D907" s="14">
        <f t="shared" ca="1" si="102"/>
        <v>0.61285552606189742</v>
      </c>
      <c r="E907" s="8">
        <f t="shared" ca="1" si="103"/>
        <v>4</v>
      </c>
      <c r="F907" s="8">
        <f t="shared" ca="1" si="104"/>
        <v>2</v>
      </c>
      <c r="G907" s="14">
        <f t="shared" ca="1" si="105"/>
        <v>0.80317646840366297</v>
      </c>
      <c r="H907" s="8">
        <f t="shared" ca="1" si="106"/>
        <v>15</v>
      </c>
    </row>
    <row r="908" spans="1:8">
      <c r="A908" s="8">
        <v>903</v>
      </c>
      <c r="B908" s="9">
        <f t="shared" ca="1" si="100"/>
        <v>0.80780822345786896</v>
      </c>
      <c r="C908" s="10" t="str">
        <f t="shared" ca="1" si="101"/>
        <v>Carrito</v>
      </c>
      <c r="D908" s="9">
        <f t="shared" ca="1" si="102"/>
        <v>0.81236392764776788</v>
      </c>
      <c r="E908" s="10">
        <f t="shared" ca="1" si="103"/>
        <v>5</v>
      </c>
      <c r="F908" s="10">
        <f t="shared" ca="1" si="104"/>
        <v>1</v>
      </c>
      <c r="G908" s="9">
        <f t="shared" ca="1" si="105"/>
        <v>0.58355574187900694</v>
      </c>
      <c r="H908" s="10">
        <f t="shared" ca="1" si="106"/>
        <v>13</v>
      </c>
    </row>
    <row r="909" spans="1:8">
      <c r="A909" s="8">
        <v>904</v>
      </c>
      <c r="B909" s="14">
        <f t="shared" ca="1" si="100"/>
        <v>0.53354578278629872</v>
      </c>
      <c r="C909" s="8" t="str">
        <f t="shared" ca="1" si="101"/>
        <v>Navegación</v>
      </c>
      <c r="D909" s="14">
        <f t="shared" ca="1" si="102"/>
        <v>0.7709227753184672</v>
      </c>
      <c r="E909" s="8">
        <f t="shared" ca="1" si="103"/>
        <v>4</v>
      </c>
      <c r="F909" s="8">
        <f t="shared" ca="1" si="104"/>
        <v>3</v>
      </c>
      <c r="G909" s="14">
        <f t="shared" ca="1" si="105"/>
        <v>8.1844607456804663E-4</v>
      </c>
      <c r="H909" s="8">
        <f t="shared" ca="1" si="106"/>
        <v>3</v>
      </c>
    </row>
    <row r="910" spans="1:8">
      <c r="A910" s="8">
        <v>905</v>
      </c>
      <c r="B910" s="9">
        <f t="shared" ca="1" si="100"/>
        <v>0.61726631097622797</v>
      </c>
      <c r="C910" s="10" t="str">
        <f t="shared" ca="1" si="101"/>
        <v>Carrito</v>
      </c>
      <c r="D910" s="9">
        <f t="shared" ca="1" si="102"/>
        <v>1.8010631180429226E-2</v>
      </c>
      <c r="E910" s="10">
        <f t="shared" ca="1" si="103"/>
        <v>1</v>
      </c>
      <c r="F910" s="10">
        <f t="shared" ca="1" si="104"/>
        <v>4</v>
      </c>
      <c r="G910" s="9">
        <f t="shared" ca="1" si="105"/>
        <v>0.24100285887805117</v>
      </c>
      <c r="H910" s="10">
        <f t="shared" ca="1" si="106"/>
        <v>9</v>
      </c>
    </row>
    <row r="911" spans="1:8">
      <c r="A911" s="8">
        <v>906</v>
      </c>
      <c r="B911" s="14">
        <f t="shared" ca="1" si="100"/>
        <v>7.5468923748241323E-2</v>
      </c>
      <c r="C911" s="8" t="str">
        <f t="shared" ca="1" si="101"/>
        <v>Navegación</v>
      </c>
      <c r="D911" s="14">
        <f t="shared" ca="1" si="102"/>
        <v>0.60167290164935383</v>
      </c>
      <c r="E911" s="8">
        <f t="shared" ca="1" si="103"/>
        <v>4</v>
      </c>
      <c r="F911" s="8">
        <f t="shared" ca="1" si="104"/>
        <v>1</v>
      </c>
      <c r="G911" s="14">
        <f t="shared" ca="1" si="105"/>
        <v>0.42096149025624507</v>
      </c>
      <c r="H911" s="8">
        <f t="shared" ca="1" si="106"/>
        <v>11</v>
      </c>
    </row>
    <row r="912" spans="1:8">
      <c r="A912" s="8">
        <v>907</v>
      </c>
      <c r="B912" s="9">
        <f t="shared" ca="1" si="100"/>
        <v>0.58044012415770674</v>
      </c>
      <c r="C912" s="10" t="str">
        <f t="shared" ca="1" si="101"/>
        <v>Carrito</v>
      </c>
      <c r="D912" s="9">
        <f t="shared" ca="1" si="102"/>
        <v>0.28280771932069659</v>
      </c>
      <c r="E912" s="10">
        <f t="shared" ca="1" si="103"/>
        <v>2</v>
      </c>
      <c r="F912" s="10">
        <f t="shared" ca="1" si="104"/>
        <v>1</v>
      </c>
      <c r="G912" s="9">
        <f t="shared" ca="1" si="105"/>
        <v>0.50850104237670413</v>
      </c>
      <c r="H912" s="10">
        <f t="shared" ca="1" si="106"/>
        <v>12</v>
      </c>
    </row>
    <row r="913" spans="1:8">
      <c r="A913" s="8">
        <v>908</v>
      </c>
      <c r="B913" s="14">
        <f t="shared" ca="1" si="100"/>
        <v>0.15146225699532256</v>
      </c>
      <c r="C913" s="8" t="str">
        <f t="shared" ca="1" si="101"/>
        <v>Navegación</v>
      </c>
      <c r="D913" s="14">
        <f t="shared" ca="1" si="102"/>
        <v>0.64080760516389801</v>
      </c>
      <c r="E913" s="8">
        <f t="shared" ca="1" si="103"/>
        <v>4</v>
      </c>
      <c r="F913" s="8">
        <f t="shared" ca="1" si="104"/>
        <v>5</v>
      </c>
      <c r="G913" s="14">
        <f t="shared" ca="1" si="105"/>
        <v>0.13500772655927595</v>
      </c>
      <c r="H913" s="8">
        <f t="shared" ca="1" si="106"/>
        <v>8</v>
      </c>
    </row>
    <row r="914" spans="1:8">
      <c r="A914" s="8">
        <v>909</v>
      </c>
      <c r="B914" s="9">
        <f t="shared" ca="1" si="100"/>
        <v>0.46260600504797178</v>
      </c>
      <c r="C914" s="10" t="str">
        <f t="shared" ca="1" si="101"/>
        <v>Navegación</v>
      </c>
      <c r="D914" s="9">
        <f t="shared" ca="1" si="102"/>
        <v>0.95226154068496116</v>
      </c>
      <c r="E914" s="10">
        <f t="shared" ca="1" si="103"/>
        <v>5</v>
      </c>
      <c r="F914" s="10">
        <f t="shared" ca="1" si="104"/>
        <v>5</v>
      </c>
      <c r="G914" s="9">
        <f t="shared" ca="1" si="105"/>
        <v>0.46866857437240816</v>
      </c>
      <c r="H914" s="10">
        <f t="shared" ca="1" si="106"/>
        <v>12</v>
      </c>
    </row>
    <row r="915" spans="1:8">
      <c r="A915" s="8">
        <v>910</v>
      </c>
      <c r="B915" s="14">
        <f t="shared" ca="1" si="100"/>
        <v>0.41471325899123379</v>
      </c>
      <c r="C915" s="8" t="str">
        <f t="shared" ca="1" si="101"/>
        <v>Navegación</v>
      </c>
      <c r="D915" s="14">
        <f t="shared" ca="1" si="102"/>
        <v>1.9162403526503557E-2</v>
      </c>
      <c r="E915" s="8">
        <f t="shared" ca="1" si="103"/>
        <v>1</v>
      </c>
      <c r="F915" s="8">
        <f t="shared" ca="1" si="104"/>
        <v>2</v>
      </c>
      <c r="G915" s="14">
        <f t="shared" ca="1" si="105"/>
        <v>0.43311321393925206</v>
      </c>
      <c r="H915" s="8">
        <f t="shared" ca="1" si="106"/>
        <v>11</v>
      </c>
    </row>
    <row r="916" spans="1:8">
      <c r="A916" s="8">
        <v>911</v>
      </c>
      <c r="B916" s="9">
        <f t="shared" ca="1" si="100"/>
        <v>0.45566432219842246</v>
      </c>
      <c r="C916" s="10" t="str">
        <f t="shared" ca="1" si="101"/>
        <v>Navegación</v>
      </c>
      <c r="D916" s="9">
        <f t="shared" ca="1" si="102"/>
        <v>0.59324260272916662</v>
      </c>
      <c r="E916" s="10">
        <f t="shared" ca="1" si="103"/>
        <v>3</v>
      </c>
      <c r="F916" s="10">
        <f t="shared" ca="1" si="104"/>
        <v>5</v>
      </c>
      <c r="G916" s="9">
        <f t="shared" ca="1" si="105"/>
        <v>0.48898467578836835</v>
      </c>
      <c r="H916" s="10">
        <f t="shared" ca="1" si="106"/>
        <v>12</v>
      </c>
    </row>
    <row r="917" spans="1:8">
      <c r="A917" s="8">
        <v>912</v>
      </c>
      <c r="B917" s="14">
        <f t="shared" ca="1" si="100"/>
        <v>0.6924457178915191</v>
      </c>
      <c r="C917" s="8" t="str">
        <f t="shared" ca="1" si="101"/>
        <v>Carrito</v>
      </c>
      <c r="D917" s="14">
        <f t="shared" ca="1" si="102"/>
        <v>3.1018859065192195E-2</v>
      </c>
      <c r="E917" s="8">
        <f t="shared" ca="1" si="103"/>
        <v>1</v>
      </c>
      <c r="F917" s="8">
        <f t="shared" ca="1" si="104"/>
        <v>1</v>
      </c>
      <c r="G917" s="14">
        <f t="shared" ca="1" si="105"/>
        <v>0.4022878132493678</v>
      </c>
      <c r="H917" s="8">
        <f t="shared" ca="1" si="106"/>
        <v>11</v>
      </c>
    </row>
    <row r="918" spans="1:8">
      <c r="A918" s="8">
        <v>913</v>
      </c>
      <c r="B918" s="9">
        <f t="shared" ca="1" si="100"/>
        <v>0.87077995546564158</v>
      </c>
      <c r="C918" s="10" t="str">
        <f t="shared" ca="1" si="101"/>
        <v>Checkout</v>
      </c>
      <c r="D918" s="9">
        <f t="shared" ca="1" si="102"/>
        <v>0.44802866596917101</v>
      </c>
      <c r="E918" s="10">
        <f t="shared" ca="1" si="103"/>
        <v>3</v>
      </c>
      <c r="F918" s="10">
        <f t="shared" ca="1" si="104"/>
        <v>4</v>
      </c>
      <c r="G918" s="9">
        <f t="shared" ca="1" si="105"/>
        <v>0.62274523819975003</v>
      </c>
      <c r="H918" s="10">
        <f t="shared" ca="1" si="106"/>
        <v>13</v>
      </c>
    </row>
    <row r="919" spans="1:8">
      <c r="A919" s="8">
        <v>914</v>
      </c>
      <c r="B919" s="14">
        <f t="shared" ca="1" si="100"/>
        <v>0.29802003236408003</v>
      </c>
      <c r="C919" s="8" t="str">
        <f t="shared" ca="1" si="101"/>
        <v>Navegación</v>
      </c>
      <c r="D919" s="14">
        <f t="shared" ca="1" si="102"/>
        <v>0.15297997969405241</v>
      </c>
      <c r="E919" s="8">
        <f t="shared" ca="1" si="103"/>
        <v>1</v>
      </c>
      <c r="F919" s="8">
        <f t="shared" ca="1" si="104"/>
        <v>1</v>
      </c>
      <c r="G919" s="14">
        <f t="shared" ca="1" si="105"/>
        <v>0.24663019853796586</v>
      </c>
      <c r="H919" s="8">
        <f t="shared" ca="1" si="106"/>
        <v>10</v>
      </c>
    </row>
    <row r="920" spans="1:8">
      <c r="A920" s="8">
        <v>915</v>
      </c>
      <c r="B920" s="9">
        <f t="shared" ca="1" si="100"/>
        <v>0.14594687089581471</v>
      </c>
      <c r="C920" s="10" t="str">
        <f t="shared" ca="1" si="101"/>
        <v>Navegación</v>
      </c>
      <c r="D920" s="9">
        <f t="shared" ca="1" si="102"/>
        <v>0.94134559181236777</v>
      </c>
      <c r="E920" s="10">
        <f t="shared" ca="1" si="103"/>
        <v>5</v>
      </c>
      <c r="F920" s="10">
        <f t="shared" ca="1" si="104"/>
        <v>1</v>
      </c>
      <c r="G920" s="9">
        <f t="shared" ca="1" si="105"/>
        <v>0.1738043647209</v>
      </c>
      <c r="H920" s="10">
        <f t="shared" ca="1" si="106"/>
        <v>9</v>
      </c>
    </row>
    <row r="921" spans="1:8">
      <c r="A921" s="8">
        <v>916</v>
      </c>
      <c r="B921" s="14">
        <f t="shared" ca="1" si="100"/>
        <v>0.9740093665641727</v>
      </c>
      <c r="C921" s="8" t="str">
        <f t="shared" ca="1" si="101"/>
        <v>Checkout</v>
      </c>
      <c r="D921" s="14">
        <f t="shared" ca="1" si="102"/>
        <v>7.8147718428188795E-2</v>
      </c>
      <c r="E921" s="8">
        <f t="shared" ca="1" si="103"/>
        <v>1</v>
      </c>
      <c r="F921" s="8">
        <f t="shared" ca="1" si="104"/>
        <v>2</v>
      </c>
      <c r="G921" s="14">
        <f t="shared" ca="1" si="105"/>
        <v>0.65871589417194842</v>
      </c>
      <c r="H921" s="8">
        <f t="shared" ca="1" si="106"/>
        <v>13</v>
      </c>
    </row>
    <row r="922" spans="1:8">
      <c r="A922" s="8">
        <v>917</v>
      </c>
      <c r="B922" s="9">
        <f t="shared" ca="1" si="100"/>
        <v>0.63925887067514342</v>
      </c>
      <c r="C922" s="10" t="str">
        <f t="shared" ca="1" si="101"/>
        <v>Carrito</v>
      </c>
      <c r="D922" s="9">
        <f t="shared" ca="1" si="102"/>
        <v>0.11157857650174929</v>
      </c>
      <c r="E922" s="10">
        <f t="shared" ca="1" si="103"/>
        <v>1</v>
      </c>
      <c r="F922" s="10">
        <f t="shared" ca="1" si="104"/>
        <v>3</v>
      </c>
      <c r="G922" s="9">
        <f t="shared" ca="1" si="105"/>
        <v>0.19853357057163723</v>
      </c>
      <c r="H922" s="10">
        <f t="shared" ca="1" si="106"/>
        <v>9</v>
      </c>
    </row>
    <row r="923" spans="1:8">
      <c r="A923" s="8">
        <v>918</v>
      </c>
      <c r="B923" s="14">
        <f t="shared" ca="1" si="100"/>
        <v>0.60212486331984394</v>
      </c>
      <c r="C923" s="8" t="str">
        <f t="shared" ca="1" si="101"/>
        <v>Carrito</v>
      </c>
      <c r="D923" s="14">
        <f t="shared" ca="1" si="102"/>
        <v>0.92706753431737221</v>
      </c>
      <c r="E923" s="8">
        <f t="shared" ca="1" si="103"/>
        <v>5</v>
      </c>
      <c r="F923" s="8">
        <f t="shared" ca="1" si="104"/>
        <v>1</v>
      </c>
      <c r="G923" s="14">
        <f t="shared" ca="1" si="105"/>
        <v>8.2631805637026323E-2</v>
      </c>
      <c r="H923" s="8">
        <f t="shared" ca="1" si="106"/>
        <v>7</v>
      </c>
    </row>
    <row r="924" spans="1:8">
      <c r="A924" s="8">
        <v>919</v>
      </c>
      <c r="B924" s="9">
        <f t="shared" ca="1" si="100"/>
        <v>0.32330204962600317</v>
      </c>
      <c r="C924" s="10" t="str">
        <f t="shared" ca="1" si="101"/>
        <v>Navegación</v>
      </c>
      <c r="D924" s="9">
        <f t="shared" ca="1" si="102"/>
        <v>0.67342340332909645</v>
      </c>
      <c r="E924" s="10">
        <f t="shared" ca="1" si="103"/>
        <v>4</v>
      </c>
      <c r="F924" s="10">
        <f t="shared" ca="1" si="104"/>
        <v>3</v>
      </c>
      <c r="G924" s="9">
        <f t="shared" ca="1" si="105"/>
        <v>0.19784103158081934</v>
      </c>
      <c r="H924" s="10">
        <f t="shared" ca="1" si="106"/>
        <v>9</v>
      </c>
    </row>
    <row r="925" spans="1:8">
      <c r="A925" s="8">
        <v>920</v>
      </c>
      <c r="B925" s="14">
        <f t="shared" ca="1" si="100"/>
        <v>0.41681180561548681</v>
      </c>
      <c r="C925" s="8" t="str">
        <f t="shared" ca="1" si="101"/>
        <v>Navegación</v>
      </c>
      <c r="D925" s="14">
        <f t="shared" ca="1" si="102"/>
        <v>0.21262245790345002</v>
      </c>
      <c r="E925" s="8">
        <f t="shared" ca="1" si="103"/>
        <v>2</v>
      </c>
      <c r="F925" s="8">
        <f t="shared" ca="1" si="104"/>
        <v>4</v>
      </c>
      <c r="G925" s="14">
        <f t="shared" ca="1" si="105"/>
        <v>0.12422346729107658</v>
      </c>
      <c r="H925" s="8">
        <f t="shared" ca="1" si="106"/>
        <v>8</v>
      </c>
    </row>
    <row r="926" spans="1:8">
      <c r="A926" s="8">
        <v>921</v>
      </c>
      <c r="B926" s="9">
        <f t="shared" ca="1" si="100"/>
        <v>0.22358059614170467</v>
      </c>
      <c r="C926" s="10" t="str">
        <f t="shared" ca="1" si="101"/>
        <v>Navegación</v>
      </c>
      <c r="D926" s="9">
        <f t="shared" ca="1" si="102"/>
        <v>0.94108282646468278</v>
      </c>
      <c r="E926" s="10">
        <f t="shared" ca="1" si="103"/>
        <v>5</v>
      </c>
      <c r="F926" s="10">
        <f t="shared" ca="1" si="104"/>
        <v>3</v>
      </c>
      <c r="G926" s="9">
        <f t="shared" ca="1" si="105"/>
        <v>0.49337414451529982</v>
      </c>
      <c r="H926" s="10">
        <f t="shared" ca="1" si="106"/>
        <v>12</v>
      </c>
    </row>
    <row r="927" spans="1:8">
      <c r="A927" s="8">
        <v>922</v>
      </c>
      <c r="B927" s="14">
        <f t="shared" ca="1" si="100"/>
        <v>0.70289898365158121</v>
      </c>
      <c r="C927" s="8" t="str">
        <f t="shared" ca="1" si="101"/>
        <v>Carrito</v>
      </c>
      <c r="D927" s="14">
        <f t="shared" ca="1" si="102"/>
        <v>0.8244672315079199</v>
      </c>
      <c r="E927" s="8">
        <f t="shared" ca="1" si="103"/>
        <v>5</v>
      </c>
      <c r="F927" s="8">
        <f t="shared" ca="1" si="104"/>
        <v>5</v>
      </c>
      <c r="G927" s="14">
        <f t="shared" ca="1" si="105"/>
        <v>0.25982559781061576</v>
      </c>
      <c r="H927" s="8">
        <f t="shared" ca="1" si="106"/>
        <v>10</v>
      </c>
    </row>
    <row r="928" spans="1:8">
      <c r="A928" s="8">
        <v>923</v>
      </c>
      <c r="B928" s="9">
        <f t="shared" ca="1" si="100"/>
        <v>0.18969848335980688</v>
      </c>
      <c r="C928" s="10" t="str">
        <f t="shared" ca="1" si="101"/>
        <v>Navegación</v>
      </c>
      <c r="D928" s="9">
        <f t="shared" ca="1" si="102"/>
        <v>3.5357148954138218E-3</v>
      </c>
      <c r="E928" s="10">
        <f t="shared" ca="1" si="103"/>
        <v>1</v>
      </c>
      <c r="F928" s="10">
        <f t="shared" ca="1" si="104"/>
        <v>3</v>
      </c>
      <c r="G928" s="9">
        <f t="shared" ca="1" si="105"/>
        <v>0.67739238502696086</v>
      </c>
      <c r="H928" s="10">
        <f t="shared" ca="1" si="106"/>
        <v>13</v>
      </c>
    </row>
    <row r="929" spans="1:8">
      <c r="A929" s="8">
        <v>924</v>
      </c>
      <c r="B929" s="14">
        <f t="shared" ca="1" si="100"/>
        <v>0.41975377242199574</v>
      </c>
      <c r="C929" s="8" t="str">
        <f t="shared" ca="1" si="101"/>
        <v>Navegación</v>
      </c>
      <c r="D929" s="14">
        <f t="shared" ca="1" si="102"/>
        <v>0.93682327601473891</v>
      </c>
      <c r="E929" s="8">
        <f t="shared" ca="1" si="103"/>
        <v>5</v>
      </c>
      <c r="F929" s="8">
        <f t="shared" ca="1" si="104"/>
        <v>4</v>
      </c>
      <c r="G929" s="14">
        <f t="shared" ca="1" si="105"/>
        <v>0.314834461745641</v>
      </c>
      <c r="H929" s="8">
        <f t="shared" ca="1" si="106"/>
        <v>10</v>
      </c>
    </row>
    <row r="930" spans="1:8">
      <c r="A930" s="8">
        <v>925</v>
      </c>
      <c r="B930" s="9">
        <f t="shared" ca="1" si="100"/>
        <v>0.97500064029320299</v>
      </c>
      <c r="C930" s="10" t="str">
        <f t="shared" ca="1" si="101"/>
        <v>Checkout</v>
      </c>
      <c r="D930" s="9">
        <f t="shared" ca="1" si="102"/>
        <v>9.8936817294562274E-2</v>
      </c>
      <c r="E930" s="10">
        <f t="shared" ca="1" si="103"/>
        <v>1</v>
      </c>
      <c r="F930" s="10">
        <f t="shared" ca="1" si="104"/>
        <v>5</v>
      </c>
      <c r="G930" s="9">
        <f t="shared" ca="1" si="105"/>
        <v>0.63341592341580299</v>
      </c>
      <c r="H930" s="10">
        <f t="shared" ca="1" si="106"/>
        <v>13</v>
      </c>
    </row>
    <row r="931" spans="1:8">
      <c r="A931" s="8">
        <v>926</v>
      </c>
      <c r="B931" s="14">
        <f t="shared" ca="1" si="100"/>
        <v>0.60820741631539843</v>
      </c>
      <c r="C931" s="8" t="str">
        <f t="shared" ca="1" si="101"/>
        <v>Carrito</v>
      </c>
      <c r="D931" s="14">
        <f t="shared" ca="1" si="102"/>
        <v>0.93584549832892727</v>
      </c>
      <c r="E931" s="8">
        <f t="shared" ca="1" si="103"/>
        <v>5</v>
      </c>
      <c r="F931" s="8">
        <f t="shared" ca="1" si="104"/>
        <v>2</v>
      </c>
      <c r="G931" s="14">
        <f t="shared" ca="1" si="105"/>
        <v>0.67700758150791118</v>
      </c>
      <c r="H931" s="8">
        <f t="shared" ca="1" si="106"/>
        <v>13</v>
      </c>
    </row>
    <row r="932" spans="1:8">
      <c r="A932" s="8">
        <v>927</v>
      </c>
      <c r="B932" s="9">
        <f t="shared" ca="1" si="100"/>
        <v>0.92493693141755062</v>
      </c>
      <c r="C932" s="10" t="str">
        <f t="shared" ca="1" si="101"/>
        <v>Checkout</v>
      </c>
      <c r="D932" s="9">
        <f t="shared" ca="1" si="102"/>
        <v>0.60035006433616256</v>
      </c>
      <c r="E932" s="10">
        <f t="shared" ca="1" si="103"/>
        <v>4</v>
      </c>
      <c r="F932" s="10">
        <f t="shared" ca="1" si="104"/>
        <v>3</v>
      </c>
      <c r="G932" s="9">
        <f t="shared" ca="1" si="105"/>
        <v>0.92557370764270075</v>
      </c>
      <c r="H932" s="10">
        <f t="shared" ca="1" si="106"/>
        <v>17</v>
      </c>
    </row>
    <row r="933" spans="1:8">
      <c r="A933" s="8">
        <v>928</v>
      </c>
      <c r="B933" s="14">
        <f t="shared" ca="1" si="100"/>
        <v>0.3491416402676083</v>
      </c>
      <c r="C933" s="8" t="str">
        <f t="shared" ca="1" si="101"/>
        <v>Navegación</v>
      </c>
      <c r="D933" s="14">
        <f t="shared" ca="1" si="102"/>
        <v>0.69150815463756643</v>
      </c>
      <c r="E933" s="8">
        <f t="shared" ca="1" si="103"/>
        <v>4</v>
      </c>
      <c r="F933" s="8">
        <f t="shared" ca="1" si="104"/>
        <v>3</v>
      </c>
      <c r="G933" s="14">
        <f t="shared" ca="1" si="105"/>
        <v>6.2686763065013307E-2</v>
      </c>
      <c r="H933" s="8">
        <f t="shared" ca="1" si="106"/>
        <v>7</v>
      </c>
    </row>
    <row r="934" spans="1:8">
      <c r="A934" s="8">
        <v>929</v>
      </c>
      <c r="B934" s="9">
        <f t="shared" ca="1" si="100"/>
        <v>0.9033696632638899</v>
      </c>
      <c r="C934" s="10" t="str">
        <f t="shared" ca="1" si="101"/>
        <v>Checkout</v>
      </c>
      <c r="D934" s="9">
        <f t="shared" ca="1" si="102"/>
        <v>0.17784064580598202</v>
      </c>
      <c r="E934" s="10">
        <f t="shared" ca="1" si="103"/>
        <v>1</v>
      </c>
      <c r="F934" s="10">
        <f t="shared" ca="1" si="104"/>
        <v>1</v>
      </c>
      <c r="G934" s="9">
        <f t="shared" ca="1" si="105"/>
        <v>0.44380429749230188</v>
      </c>
      <c r="H934" s="10">
        <f t="shared" ca="1" si="106"/>
        <v>11</v>
      </c>
    </row>
    <row r="935" spans="1:8">
      <c r="A935" s="8">
        <v>930</v>
      </c>
      <c r="B935" s="14">
        <f t="shared" ca="1" si="100"/>
        <v>0.69030220056009339</v>
      </c>
      <c r="C935" s="8" t="str">
        <f t="shared" ca="1" si="101"/>
        <v>Carrito</v>
      </c>
      <c r="D935" s="14">
        <f t="shared" ca="1" si="102"/>
        <v>0.54466274142698501</v>
      </c>
      <c r="E935" s="8">
        <f t="shared" ca="1" si="103"/>
        <v>3</v>
      </c>
      <c r="F935" s="8">
        <f t="shared" ca="1" si="104"/>
        <v>4</v>
      </c>
      <c r="G935" s="14">
        <f t="shared" ca="1" si="105"/>
        <v>0.28259442811284896</v>
      </c>
      <c r="H935" s="8">
        <f t="shared" ca="1" si="106"/>
        <v>10</v>
      </c>
    </row>
    <row r="936" spans="1:8">
      <c r="A936" s="8">
        <v>931</v>
      </c>
      <c r="B936" s="9">
        <f t="shared" ca="1" si="100"/>
        <v>0.57278284418097647</v>
      </c>
      <c r="C936" s="10" t="str">
        <f t="shared" ca="1" si="101"/>
        <v>Carrito</v>
      </c>
      <c r="D936" s="9">
        <f t="shared" ca="1" si="102"/>
        <v>0.26879608509890618</v>
      </c>
      <c r="E936" s="10">
        <f t="shared" ca="1" si="103"/>
        <v>2</v>
      </c>
      <c r="F936" s="10">
        <f t="shared" ca="1" si="104"/>
        <v>4</v>
      </c>
      <c r="G936" s="9">
        <f t="shared" ca="1" si="105"/>
        <v>0.35867532139760538</v>
      </c>
      <c r="H936" s="10">
        <f t="shared" ca="1" si="106"/>
        <v>11</v>
      </c>
    </row>
    <row r="937" spans="1:8">
      <c r="A937" s="8">
        <v>932</v>
      </c>
      <c r="B937" s="14">
        <f t="shared" ca="1" si="100"/>
        <v>7.9782470456660648E-2</v>
      </c>
      <c r="C937" s="8" t="str">
        <f t="shared" ca="1" si="101"/>
        <v>Navegación</v>
      </c>
      <c r="D937" s="14">
        <f t="shared" ca="1" si="102"/>
        <v>1.7126184072029038E-2</v>
      </c>
      <c r="E937" s="8">
        <f t="shared" ca="1" si="103"/>
        <v>1</v>
      </c>
      <c r="F937" s="8">
        <f t="shared" ca="1" si="104"/>
        <v>4</v>
      </c>
      <c r="G937" s="14">
        <f t="shared" ca="1" si="105"/>
        <v>0.94311984586627196</v>
      </c>
      <c r="H937" s="8">
        <f t="shared" ca="1" si="106"/>
        <v>18</v>
      </c>
    </row>
    <row r="938" spans="1:8">
      <c r="A938" s="8">
        <v>933</v>
      </c>
      <c r="B938" s="9">
        <f t="shared" ca="1" si="100"/>
        <v>0.81571954779287292</v>
      </c>
      <c r="C938" s="10" t="str">
        <f t="shared" ca="1" si="101"/>
        <v>Carrito</v>
      </c>
      <c r="D938" s="9">
        <f t="shared" ca="1" si="102"/>
        <v>0.99929393703143665</v>
      </c>
      <c r="E938" s="10">
        <f t="shared" ca="1" si="103"/>
        <v>5</v>
      </c>
      <c r="F938" s="10">
        <f t="shared" ca="1" si="104"/>
        <v>5</v>
      </c>
      <c r="G938" s="9">
        <f t="shared" ca="1" si="105"/>
        <v>0.32811435989672666</v>
      </c>
      <c r="H938" s="10">
        <f t="shared" ca="1" si="106"/>
        <v>10</v>
      </c>
    </row>
    <row r="939" spans="1:8">
      <c r="A939" s="8">
        <v>934</v>
      </c>
      <c r="B939" s="14">
        <f t="shared" ca="1" si="100"/>
        <v>0.62835544587162917</v>
      </c>
      <c r="C939" s="8" t="str">
        <f t="shared" ca="1" si="101"/>
        <v>Carrito</v>
      </c>
      <c r="D939" s="14">
        <f t="shared" ca="1" si="102"/>
        <v>9.0209606112127028E-2</v>
      </c>
      <c r="E939" s="8">
        <f t="shared" ca="1" si="103"/>
        <v>1</v>
      </c>
      <c r="F939" s="8">
        <f t="shared" ca="1" si="104"/>
        <v>3</v>
      </c>
      <c r="G939" s="14">
        <f t="shared" ca="1" si="105"/>
        <v>0.81582356676159551</v>
      </c>
      <c r="H939" s="8">
        <f t="shared" ca="1" si="106"/>
        <v>15</v>
      </c>
    </row>
    <row r="940" spans="1:8">
      <c r="A940" s="8">
        <v>935</v>
      </c>
      <c r="B940" s="9">
        <f t="shared" ca="1" si="100"/>
        <v>0.7959003714667674</v>
      </c>
      <c r="C940" s="10" t="str">
        <f t="shared" ca="1" si="101"/>
        <v>Carrito</v>
      </c>
      <c r="D940" s="9">
        <f t="shared" ca="1" si="102"/>
        <v>0.20836151286250348</v>
      </c>
      <c r="E940" s="10">
        <f t="shared" ca="1" si="103"/>
        <v>2</v>
      </c>
      <c r="F940" s="10">
        <f t="shared" ca="1" si="104"/>
        <v>3</v>
      </c>
      <c r="G940" s="9">
        <f t="shared" ca="1" si="105"/>
        <v>0.52719782460247111</v>
      </c>
      <c r="H940" s="10">
        <f t="shared" ca="1" si="106"/>
        <v>12</v>
      </c>
    </row>
    <row r="941" spans="1:8">
      <c r="A941" s="8">
        <v>936</v>
      </c>
      <c r="B941" s="14">
        <f t="shared" ca="1" si="100"/>
        <v>0.67988378979609632</v>
      </c>
      <c r="C941" s="8" t="str">
        <f t="shared" ca="1" si="101"/>
        <v>Carrito</v>
      </c>
      <c r="D941" s="14">
        <f t="shared" ca="1" si="102"/>
        <v>0.6049008191719627</v>
      </c>
      <c r="E941" s="8">
        <f t="shared" ca="1" si="103"/>
        <v>4</v>
      </c>
      <c r="F941" s="8">
        <f t="shared" ca="1" si="104"/>
        <v>5</v>
      </c>
      <c r="G941" s="14">
        <f t="shared" ca="1" si="105"/>
        <v>0.65587178884454123</v>
      </c>
      <c r="H941" s="8">
        <f t="shared" ca="1" si="106"/>
        <v>13</v>
      </c>
    </row>
    <row r="942" spans="1:8">
      <c r="A942" s="8">
        <v>937</v>
      </c>
      <c r="B942" s="9">
        <f t="shared" ca="1" si="100"/>
        <v>0.35894368702896307</v>
      </c>
      <c r="C942" s="10" t="str">
        <f t="shared" ca="1" si="101"/>
        <v>Navegación</v>
      </c>
      <c r="D942" s="9">
        <f t="shared" ca="1" si="102"/>
        <v>0.60177324230980334</v>
      </c>
      <c r="E942" s="10">
        <f t="shared" ca="1" si="103"/>
        <v>4</v>
      </c>
      <c r="F942" s="10">
        <f t="shared" ca="1" si="104"/>
        <v>3</v>
      </c>
      <c r="G942" s="9">
        <f t="shared" ca="1" si="105"/>
        <v>0.84297100230258781</v>
      </c>
      <c r="H942" s="10">
        <f t="shared" ca="1" si="106"/>
        <v>15</v>
      </c>
    </row>
    <row r="943" spans="1:8">
      <c r="A943" s="8">
        <v>938</v>
      </c>
      <c r="B943" s="14">
        <f t="shared" ca="1" si="100"/>
        <v>0.16646795116710089</v>
      </c>
      <c r="C943" s="8" t="str">
        <f t="shared" ca="1" si="101"/>
        <v>Navegación</v>
      </c>
      <c r="D943" s="14">
        <f t="shared" ca="1" si="102"/>
        <v>0.15348768259291046</v>
      </c>
      <c r="E943" s="8">
        <f t="shared" ca="1" si="103"/>
        <v>1</v>
      </c>
      <c r="F943" s="8">
        <f t="shared" ca="1" si="104"/>
        <v>1</v>
      </c>
      <c r="G943" s="14">
        <f t="shared" ca="1" si="105"/>
        <v>0.40920217248775648</v>
      </c>
      <c r="H943" s="8">
        <f t="shared" ca="1" si="106"/>
        <v>11</v>
      </c>
    </row>
    <row r="944" spans="1:8">
      <c r="A944" s="8">
        <v>939</v>
      </c>
      <c r="B944" s="9">
        <f t="shared" ca="1" si="100"/>
        <v>0.54287258911973257</v>
      </c>
      <c r="C944" s="10" t="str">
        <f t="shared" ca="1" si="101"/>
        <v>Navegación</v>
      </c>
      <c r="D944" s="9">
        <f t="shared" ca="1" si="102"/>
        <v>0.8814374455029832</v>
      </c>
      <c r="E944" s="10">
        <f t="shared" ca="1" si="103"/>
        <v>5</v>
      </c>
      <c r="F944" s="10">
        <f t="shared" ca="1" si="104"/>
        <v>2</v>
      </c>
      <c r="G944" s="9">
        <f t="shared" ca="1" si="105"/>
        <v>0.26133023379668774</v>
      </c>
      <c r="H944" s="10">
        <f t="shared" ca="1" si="106"/>
        <v>10</v>
      </c>
    </row>
    <row r="945" spans="1:8">
      <c r="A945" s="8">
        <v>940</v>
      </c>
      <c r="B945" s="14">
        <f t="shared" ca="1" si="100"/>
        <v>7.5788903515107253E-2</v>
      </c>
      <c r="C945" s="8" t="str">
        <f t="shared" ca="1" si="101"/>
        <v>Navegación</v>
      </c>
      <c r="D945" s="14">
        <f t="shared" ca="1" si="102"/>
        <v>0.6037564226097506</v>
      </c>
      <c r="E945" s="8">
        <f t="shared" ca="1" si="103"/>
        <v>4</v>
      </c>
      <c r="F945" s="8">
        <f t="shared" ca="1" si="104"/>
        <v>4</v>
      </c>
      <c r="G945" s="14">
        <f t="shared" ca="1" si="105"/>
        <v>0.33555344912669605</v>
      </c>
      <c r="H945" s="8">
        <f t="shared" ca="1" si="106"/>
        <v>10</v>
      </c>
    </row>
    <row r="946" spans="1:8">
      <c r="A946" s="8">
        <v>941</v>
      </c>
      <c r="B946" s="9">
        <f t="shared" ca="1" si="100"/>
        <v>0.78314646849778169</v>
      </c>
      <c r="C946" s="10" t="str">
        <f t="shared" ca="1" si="101"/>
        <v>Carrito</v>
      </c>
      <c r="D946" s="9">
        <f t="shared" ca="1" si="102"/>
        <v>0.59982895289306271</v>
      </c>
      <c r="E946" s="10">
        <f t="shared" ca="1" si="103"/>
        <v>3</v>
      </c>
      <c r="F946" s="10">
        <f t="shared" ca="1" si="104"/>
        <v>2</v>
      </c>
      <c r="G946" s="9">
        <f t="shared" ca="1" si="105"/>
        <v>0.44387032323366205</v>
      </c>
      <c r="H946" s="10">
        <f t="shared" ca="1" si="106"/>
        <v>11</v>
      </c>
    </row>
    <row r="947" spans="1:8">
      <c r="A947" s="8">
        <v>942</v>
      </c>
      <c r="B947" s="14">
        <f t="shared" ca="1" si="100"/>
        <v>0.52142200942580597</v>
      </c>
      <c r="C947" s="8" t="str">
        <f t="shared" ca="1" si="101"/>
        <v>Navegación</v>
      </c>
      <c r="D947" s="14">
        <f t="shared" ca="1" si="102"/>
        <v>2.2097020469063477E-2</v>
      </c>
      <c r="E947" s="8">
        <f t="shared" ca="1" si="103"/>
        <v>1</v>
      </c>
      <c r="F947" s="8">
        <f t="shared" ca="1" si="104"/>
        <v>2</v>
      </c>
      <c r="G947" s="14">
        <f t="shared" ca="1" si="105"/>
        <v>0.95052301172380071</v>
      </c>
      <c r="H947" s="8">
        <f t="shared" ca="1" si="106"/>
        <v>18</v>
      </c>
    </row>
    <row r="948" spans="1:8">
      <c r="A948" s="8">
        <v>943</v>
      </c>
      <c r="B948" s="9">
        <f t="shared" ca="1" si="100"/>
        <v>0.19819631558974982</v>
      </c>
      <c r="C948" s="10" t="str">
        <f t="shared" ca="1" si="101"/>
        <v>Navegación</v>
      </c>
      <c r="D948" s="9">
        <f t="shared" ca="1" si="102"/>
        <v>0.78923900610147679</v>
      </c>
      <c r="E948" s="10">
        <f t="shared" ca="1" si="103"/>
        <v>4</v>
      </c>
      <c r="F948" s="10">
        <f t="shared" ca="1" si="104"/>
        <v>5</v>
      </c>
      <c r="G948" s="9">
        <f t="shared" ca="1" si="105"/>
        <v>0.96118437810243806</v>
      </c>
      <c r="H948" s="10">
        <f t="shared" ca="1" si="106"/>
        <v>18</v>
      </c>
    </row>
    <row r="949" spans="1:8">
      <c r="A949" s="8">
        <v>944</v>
      </c>
      <c r="B949" s="14">
        <f t="shared" ca="1" si="100"/>
        <v>0.34402592159854206</v>
      </c>
      <c r="C949" s="8" t="str">
        <f t="shared" ca="1" si="101"/>
        <v>Navegación</v>
      </c>
      <c r="D949" s="14">
        <f t="shared" ca="1" si="102"/>
        <v>0.34452685154254103</v>
      </c>
      <c r="E949" s="8">
        <f t="shared" ca="1" si="103"/>
        <v>2</v>
      </c>
      <c r="F949" s="8">
        <f t="shared" ca="1" si="104"/>
        <v>4</v>
      </c>
      <c r="G949" s="14">
        <f t="shared" ca="1" si="105"/>
        <v>0.55917225241830237</v>
      </c>
      <c r="H949" s="8">
        <f t="shared" ca="1" si="106"/>
        <v>12</v>
      </c>
    </row>
    <row r="950" spans="1:8">
      <c r="A950" s="8">
        <v>945</v>
      </c>
      <c r="B950" s="9">
        <f t="shared" ca="1" si="100"/>
        <v>0.58905479159288077</v>
      </c>
      <c r="C950" s="10" t="str">
        <f t="shared" ca="1" si="101"/>
        <v>Carrito</v>
      </c>
      <c r="D950" s="9">
        <f t="shared" ca="1" si="102"/>
        <v>0.58810268552581402</v>
      </c>
      <c r="E950" s="10">
        <f t="shared" ca="1" si="103"/>
        <v>3</v>
      </c>
      <c r="F950" s="10">
        <f t="shared" ca="1" si="104"/>
        <v>1</v>
      </c>
      <c r="G950" s="9">
        <f t="shared" ca="1" si="105"/>
        <v>0.83697018377852517</v>
      </c>
      <c r="H950" s="10">
        <f t="shared" ca="1" si="106"/>
        <v>15</v>
      </c>
    </row>
    <row r="951" spans="1:8">
      <c r="A951" s="8">
        <v>946</v>
      </c>
      <c r="B951" s="14">
        <f t="shared" ca="1" si="100"/>
        <v>0.11312754233883571</v>
      </c>
      <c r="C951" s="8" t="str">
        <f t="shared" ca="1" si="101"/>
        <v>Navegación</v>
      </c>
      <c r="D951" s="14">
        <f t="shared" ca="1" si="102"/>
        <v>0.8661192705486086</v>
      </c>
      <c r="E951" s="8">
        <f t="shared" ca="1" si="103"/>
        <v>5</v>
      </c>
      <c r="F951" s="8">
        <f t="shared" ca="1" si="104"/>
        <v>1</v>
      </c>
      <c r="G951" s="14">
        <f t="shared" ca="1" si="105"/>
        <v>0.84641650562293458</v>
      </c>
      <c r="H951" s="8">
        <f t="shared" ca="1" si="106"/>
        <v>16</v>
      </c>
    </row>
    <row r="952" spans="1:8">
      <c r="A952" s="8">
        <v>947</v>
      </c>
      <c r="B952" s="9">
        <f t="shared" ca="1" si="100"/>
        <v>0.99710657714783146</v>
      </c>
      <c r="C952" s="10" t="str">
        <f t="shared" ca="1" si="101"/>
        <v>Checkout</v>
      </c>
      <c r="D952" s="9">
        <f t="shared" ca="1" si="102"/>
        <v>0.55587248164435066</v>
      </c>
      <c r="E952" s="10">
        <f t="shared" ca="1" si="103"/>
        <v>3</v>
      </c>
      <c r="F952" s="10">
        <f t="shared" ca="1" si="104"/>
        <v>3</v>
      </c>
      <c r="G952" s="9">
        <f t="shared" ca="1" si="105"/>
        <v>0.30298299776540827</v>
      </c>
      <c r="H952" s="10">
        <f t="shared" ca="1" si="106"/>
        <v>10</v>
      </c>
    </row>
    <row r="953" spans="1:8">
      <c r="A953" s="8">
        <v>948</v>
      </c>
      <c r="B953" s="14">
        <f t="shared" ca="1" si="100"/>
        <v>0.39782390450480065</v>
      </c>
      <c r="C953" s="8" t="str">
        <f t="shared" ca="1" si="101"/>
        <v>Navegación</v>
      </c>
      <c r="D953" s="14">
        <f t="shared" ca="1" si="102"/>
        <v>0.38265424210745214</v>
      </c>
      <c r="E953" s="8">
        <f t="shared" ca="1" si="103"/>
        <v>2</v>
      </c>
      <c r="F953" s="8">
        <f t="shared" ca="1" si="104"/>
        <v>5</v>
      </c>
      <c r="G953" s="14">
        <f t="shared" ca="1" si="105"/>
        <v>0.24766371728435765</v>
      </c>
      <c r="H953" s="8">
        <f t="shared" ca="1" si="106"/>
        <v>10</v>
      </c>
    </row>
    <row r="954" spans="1:8">
      <c r="A954" s="8">
        <v>949</v>
      </c>
      <c r="B954" s="9">
        <f t="shared" ca="1" si="100"/>
        <v>0.89416960984854565</v>
      </c>
      <c r="C954" s="10" t="str">
        <f t="shared" ca="1" si="101"/>
        <v>Checkout</v>
      </c>
      <c r="D954" s="9">
        <f t="shared" ca="1" si="102"/>
        <v>0.73490287836321955</v>
      </c>
      <c r="E954" s="10">
        <f t="shared" ca="1" si="103"/>
        <v>4</v>
      </c>
      <c r="F954" s="10">
        <f t="shared" ca="1" si="104"/>
        <v>2</v>
      </c>
      <c r="G954" s="9">
        <f t="shared" ca="1" si="105"/>
        <v>0.35988789807047084</v>
      </c>
      <c r="H954" s="10">
        <f t="shared" ca="1" si="106"/>
        <v>11</v>
      </c>
    </row>
    <row r="955" spans="1:8">
      <c r="A955" s="8">
        <v>950</v>
      </c>
      <c r="B955" s="14">
        <f t="shared" ca="1" si="100"/>
        <v>0.96231465422448459</v>
      </c>
      <c r="C955" s="8" t="str">
        <f t="shared" ca="1" si="101"/>
        <v>Checkout</v>
      </c>
      <c r="D955" s="14">
        <f t="shared" ca="1" si="102"/>
        <v>0.43836760214379511</v>
      </c>
      <c r="E955" s="8">
        <f t="shared" ca="1" si="103"/>
        <v>3</v>
      </c>
      <c r="F955" s="8">
        <f t="shared" ca="1" si="104"/>
        <v>5</v>
      </c>
      <c r="G955" s="14">
        <f t="shared" ca="1" si="105"/>
        <v>0.4320932227314398</v>
      </c>
      <c r="H955" s="8">
        <f t="shared" ca="1" si="106"/>
        <v>11</v>
      </c>
    </row>
    <row r="956" spans="1:8">
      <c r="A956" s="8">
        <v>951</v>
      </c>
      <c r="B956" s="9">
        <f t="shared" ca="1" si="100"/>
        <v>0.75729253041147448</v>
      </c>
      <c r="C956" s="10" t="str">
        <f t="shared" ca="1" si="101"/>
        <v>Carrito</v>
      </c>
      <c r="D956" s="9">
        <f t="shared" ca="1" si="102"/>
        <v>0.48188425935988533</v>
      </c>
      <c r="E956" s="10">
        <f t="shared" ca="1" si="103"/>
        <v>3</v>
      </c>
      <c r="F956" s="10">
        <f t="shared" ca="1" si="104"/>
        <v>3</v>
      </c>
      <c r="G956" s="9">
        <f t="shared" ca="1" si="105"/>
        <v>0.60835604701442947</v>
      </c>
      <c r="H956" s="10">
        <f t="shared" ca="1" si="106"/>
        <v>13</v>
      </c>
    </row>
    <row r="957" spans="1:8">
      <c r="A957" s="8">
        <v>952</v>
      </c>
      <c r="B957" s="14">
        <f t="shared" ca="1" si="100"/>
        <v>0.48196506613369694</v>
      </c>
      <c r="C957" s="8" t="str">
        <f t="shared" ca="1" si="101"/>
        <v>Navegación</v>
      </c>
      <c r="D957" s="14">
        <f t="shared" ca="1" si="102"/>
        <v>0.92570158156693683</v>
      </c>
      <c r="E957" s="8">
        <f t="shared" ca="1" si="103"/>
        <v>5</v>
      </c>
      <c r="F957" s="8">
        <f t="shared" ca="1" si="104"/>
        <v>1</v>
      </c>
      <c r="G957" s="14">
        <f t="shared" ca="1" si="105"/>
        <v>0.44336737902108048</v>
      </c>
      <c r="H957" s="8">
        <f t="shared" ca="1" si="106"/>
        <v>11</v>
      </c>
    </row>
    <row r="958" spans="1:8">
      <c r="A958" s="8">
        <v>953</v>
      </c>
      <c r="B958" s="9">
        <f t="shared" ca="1" si="100"/>
        <v>2.1473865175561602E-2</v>
      </c>
      <c r="C958" s="10" t="str">
        <f t="shared" ca="1" si="101"/>
        <v>Navegación</v>
      </c>
      <c r="D958" s="9">
        <f t="shared" ca="1" si="102"/>
        <v>0.20537905974326853</v>
      </c>
      <c r="E958" s="10">
        <f t="shared" ca="1" si="103"/>
        <v>2</v>
      </c>
      <c r="F958" s="10">
        <f t="shared" ca="1" si="104"/>
        <v>5</v>
      </c>
      <c r="G958" s="9">
        <f t="shared" ca="1" si="105"/>
        <v>0.54403613630883596</v>
      </c>
      <c r="H958" s="10">
        <f t="shared" ca="1" si="106"/>
        <v>12</v>
      </c>
    </row>
    <row r="959" spans="1:8">
      <c r="A959" s="8">
        <v>954</v>
      </c>
      <c r="B959" s="14">
        <f t="shared" ca="1" si="100"/>
        <v>0.49006879157866112</v>
      </c>
      <c r="C959" s="8" t="str">
        <f t="shared" ca="1" si="101"/>
        <v>Navegación</v>
      </c>
      <c r="D959" s="14">
        <f t="shared" ca="1" si="102"/>
        <v>0.58260716984139294</v>
      </c>
      <c r="E959" s="8">
        <f t="shared" ca="1" si="103"/>
        <v>3</v>
      </c>
      <c r="F959" s="8">
        <f t="shared" ca="1" si="104"/>
        <v>1</v>
      </c>
      <c r="G959" s="14">
        <f t="shared" ca="1" si="105"/>
        <v>0.53887927855425488</v>
      </c>
      <c r="H959" s="8">
        <f t="shared" ca="1" si="106"/>
        <v>12</v>
      </c>
    </row>
    <row r="960" spans="1:8">
      <c r="A960" s="8">
        <v>955</v>
      </c>
      <c r="B960" s="9">
        <f t="shared" ca="1" si="100"/>
        <v>0.4529388437752947</v>
      </c>
      <c r="C960" s="10" t="str">
        <f t="shared" ca="1" si="101"/>
        <v>Navegación</v>
      </c>
      <c r="D960" s="9">
        <f t="shared" ca="1" si="102"/>
        <v>0.78913337552136387</v>
      </c>
      <c r="E960" s="10">
        <f t="shared" ca="1" si="103"/>
        <v>4</v>
      </c>
      <c r="F960" s="10">
        <f t="shared" ca="1" si="104"/>
        <v>5</v>
      </c>
      <c r="G960" s="9">
        <f t="shared" ca="1" si="105"/>
        <v>0.8338564024670897</v>
      </c>
      <c r="H960" s="10">
        <f t="shared" ca="1" si="106"/>
        <v>15</v>
      </c>
    </row>
    <row r="961" spans="1:8">
      <c r="A961" s="8">
        <v>956</v>
      </c>
      <c r="B961" s="14">
        <f t="shared" ca="1" si="100"/>
        <v>4.6278529360815113E-2</v>
      </c>
      <c r="C961" s="8" t="str">
        <f t="shared" ca="1" si="101"/>
        <v>Navegación</v>
      </c>
      <c r="D961" s="14">
        <f t="shared" ca="1" si="102"/>
        <v>0.95386383097228766</v>
      </c>
      <c r="E961" s="8">
        <f t="shared" ca="1" si="103"/>
        <v>5</v>
      </c>
      <c r="F961" s="8">
        <f t="shared" ca="1" si="104"/>
        <v>3</v>
      </c>
      <c r="G961" s="14">
        <f t="shared" ca="1" si="105"/>
        <v>0.13537415868278724</v>
      </c>
      <c r="H961" s="8">
        <f t="shared" ca="1" si="106"/>
        <v>8</v>
      </c>
    </row>
    <row r="962" spans="1:8">
      <c r="A962" s="8">
        <v>957</v>
      </c>
      <c r="B962" s="9">
        <f t="shared" ca="1" si="100"/>
        <v>0.22885265569413005</v>
      </c>
      <c r="C962" s="10" t="str">
        <f t="shared" ca="1" si="101"/>
        <v>Navegación</v>
      </c>
      <c r="D962" s="9">
        <f t="shared" ca="1" si="102"/>
        <v>0.71743702214881866</v>
      </c>
      <c r="E962" s="10">
        <f t="shared" ca="1" si="103"/>
        <v>4</v>
      </c>
      <c r="F962" s="10">
        <f t="shared" ca="1" si="104"/>
        <v>3</v>
      </c>
      <c r="G962" s="9">
        <f t="shared" ca="1" si="105"/>
        <v>0.63614818922867211</v>
      </c>
      <c r="H962" s="10">
        <f t="shared" ca="1" si="106"/>
        <v>13</v>
      </c>
    </row>
    <row r="963" spans="1:8">
      <c r="A963" s="8">
        <v>958</v>
      </c>
      <c r="B963" s="14">
        <f t="shared" ca="1" si="100"/>
        <v>0.23177888138176372</v>
      </c>
      <c r="C963" s="8" t="str">
        <f t="shared" ca="1" si="101"/>
        <v>Navegación</v>
      </c>
      <c r="D963" s="14">
        <f t="shared" ca="1" si="102"/>
        <v>0.75575334632409963</v>
      </c>
      <c r="E963" s="8">
        <f t="shared" ca="1" si="103"/>
        <v>4</v>
      </c>
      <c r="F963" s="8">
        <f t="shared" ca="1" si="104"/>
        <v>5</v>
      </c>
      <c r="G963" s="14">
        <f t="shared" ca="1" si="105"/>
        <v>0.25452835497237525</v>
      </c>
      <c r="H963" s="8">
        <f t="shared" ca="1" si="106"/>
        <v>10</v>
      </c>
    </row>
    <row r="964" spans="1:8">
      <c r="A964" s="8">
        <v>959</v>
      </c>
      <c r="B964" s="9">
        <f t="shared" ca="1" si="100"/>
        <v>0.50353783983532308</v>
      </c>
      <c r="C964" s="10" t="str">
        <f t="shared" ca="1" si="101"/>
        <v>Navegación</v>
      </c>
      <c r="D964" s="9">
        <f t="shared" ca="1" si="102"/>
        <v>0.9484663071860554</v>
      </c>
      <c r="E964" s="10">
        <f t="shared" ca="1" si="103"/>
        <v>5</v>
      </c>
      <c r="F964" s="10">
        <f t="shared" ca="1" si="104"/>
        <v>5</v>
      </c>
      <c r="G964" s="9">
        <f t="shared" ca="1" si="105"/>
        <v>0.57063412943755065</v>
      </c>
      <c r="H964" s="10">
        <f t="shared" ca="1" si="106"/>
        <v>12</v>
      </c>
    </row>
    <row r="965" spans="1:8">
      <c r="A965" s="8">
        <v>960</v>
      </c>
      <c r="B965" s="14">
        <f t="shared" ca="1" si="100"/>
        <v>0.69372767243036493</v>
      </c>
      <c r="C965" s="8" t="str">
        <f t="shared" ca="1" si="101"/>
        <v>Carrito</v>
      </c>
      <c r="D965" s="14">
        <f t="shared" ca="1" si="102"/>
        <v>0.5870148855085201</v>
      </c>
      <c r="E965" s="8">
        <f t="shared" ca="1" si="103"/>
        <v>3</v>
      </c>
      <c r="F965" s="8">
        <f t="shared" ca="1" si="104"/>
        <v>3</v>
      </c>
      <c r="G965" s="14">
        <f t="shared" ca="1" si="105"/>
        <v>8.2630465508179651E-2</v>
      </c>
      <c r="H965" s="8">
        <f t="shared" ca="1" si="106"/>
        <v>7</v>
      </c>
    </row>
    <row r="966" spans="1:8">
      <c r="A966" s="8">
        <v>961</v>
      </c>
      <c r="B966" s="9">
        <f t="shared" ref="B966:B1005" ca="1" si="107">RAND()</f>
        <v>0.77311969178196427</v>
      </c>
      <c r="C966" s="10" t="str">
        <f t="shared" ref="C966:C1005" ca="1" si="108">VLOOKUP(B966, $J$6:$K$8, 2, TRUE)</f>
        <v>Carrito</v>
      </c>
      <c r="D966" s="9">
        <f t="shared" ref="D966:D1005" ca="1" si="109">RAND()</f>
        <v>0.94419550998159585</v>
      </c>
      <c r="E966" s="10">
        <f t="shared" ref="E966:E1005" ca="1" si="110">INT(D966*($O$7-$O$6+1))+$O$6</f>
        <v>5</v>
      </c>
      <c r="F966" s="10">
        <f t="shared" ref="F966:F1005" ca="1" si="111">RANDBETWEEN($O$6, $O$7)</f>
        <v>1</v>
      </c>
      <c r="G966" s="9">
        <f t="shared" ref="G966:G1005" ca="1" si="112">RAND()</f>
        <v>0.68016556580810539</v>
      </c>
      <c r="H966" s="10">
        <f t="shared" ref="H966:H1005" ca="1" si="113">VLOOKUP(G966, $W$5:$X$39, 2, TRUE)</f>
        <v>13</v>
      </c>
    </row>
    <row r="967" spans="1:8">
      <c r="A967" s="8">
        <v>962</v>
      </c>
      <c r="B967" s="14">
        <f t="shared" ca="1" si="107"/>
        <v>0.8579580474900802</v>
      </c>
      <c r="C967" s="8" t="str">
        <f t="shared" ca="1" si="108"/>
        <v>Checkout</v>
      </c>
      <c r="D967" s="14">
        <f t="shared" ca="1" si="109"/>
        <v>0.40060857515923376</v>
      </c>
      <c r="E967" s="8">
        <f t="shared" ca="1" si="110"/>
        <v>3</v>
      </c>
      <c r="F967" s="8">
        <f t="shared" ca="1" si="111"/>
        <v>5</v>
      </c>
      <c r="G967" s="14">
        <f t="shared" ca="1" si="112"/>
        <v>0.80601783046611686</v>
      </c>
      <c r="H967" s="8">
        <f t="shared" ca="1" si="113"/>
        <v>15</v>
      </c>
    </row>
    <row r="968" spans="1:8">
      <c r="A968" s="8">
        <v>963</v>
      </c>
      <c r="B968" s="9">
        <f t="shared" ca="1" si="107"/>
        <v>0.66242131840648899</v>
      </c>
      <c r="C968" s="10" t="str">
        <f t="shared" ca="1" si="108"/>
        <v>Carrito</v>
      </c>
      <c r="D968" s="9">
        <f t="shared" ca="1" si="109"/>
        <v>1.3073547663779883E-2</v>
      </c>
      <c r="E968" s="10">
        <f t="shared" ca="1" si="110"/>
        <v>1</v>
      </c>
      <c r="F968" s="10">
        <f t="shared" ca="1" si="111"/>
        <v>3</v>
      </c>
      <c r="G968" s="9">
        <f t="shared" ca="1" si="112"/>
        <v>0.10521158508019535</v>
      </c>
      <c r="H968" s="10">
        <f t="shared" ca="1" si="113"/>
        <v>8</v>
      </c>
    </row>
    <row r="969" spans="1:8">
      <c r="A969" s="8">
        <v>964</v>
      </c>
      <c r="B969" s="14">
        <f t="shared" ca="1" si="107"/>
        <v>0.67440345361167664</v>
      </c>
      <c r="C969" s="8" t="str">
        <f t="shared" ca="1" si="108"/>
        <v>Carrito</v>
      </c>
      <c r="D969" s="14">
        <f t="shared" ca="1" si="109"/>
        <v>3.546148086477352E-2</v>
      </c>
      <c r="E969" s="8">
        <f t="shared" ca="1" si="110"/>
        <v>1</v>
      </c>
      <c r="F969" s="8">
        <f t="shared" ca="1" si="111"/>
        <v>5</v>
      </c>
      <c r="G969" s="14">
        <f t="shared" ca="1" si="112"/>
        <v>0.55710419337596628</v>
      </c>
      <c r="H969" s="8">
        <f t="shared" ca="1" si="113"/>
        <v>12</v>
      </c>
    </row>
    <row r="970" spans="1:8">
      <c r="A970" s="8">
        <v>965</v>
      </c>
      <c r="B970" s="9">
        <f t="shared" ca="1" si="107"/>
        <v>0.11332160895234111</v>
      </c>
      <c r="C970" s="10" t="str">
        <f t="shared" ca="1" si="108"/>
        <v>Navegación</v>
      </c>
      <c r="D970" s="9">
        <f t="shared" ca="1" si="109"/>
        <v>0.82553950707605495</v>
      </c>
      <c r="E970" s="10">
        <f t="shared" ca="1" si="110"/>
        <v>5</v>
      </c>
      <c r="F970" s="10">
        <f t="shared" ca="1" si="111"/>
        <v>4</v>
      </c>
      <c r="G970" s="9">
        <f t="shared" ca="1" si="112"/>
        <v>2.3168047274410131E-2</v>
      </c>
      <c r="H970" s="10">
        <f t="shared" ca="1" si="113"/>
        <v>6</v>
      </c>
    </row>
    <row r="971" spans="1:8">
      <c r="A971" s="8">
        <v>966</v>
      </c>
      <c r="B971" s="14">
        <f t="shared" ca="1" si="107"/>
        <v>0.79197950307733356</v>
      </c>
      <c r="C971" s="8" t="str">
        <f t="shared" ca="1" si="108"/>
        <v>Carrito</v>
      </c>
      <c r="D971" s="14">
        <f t="shared" ca="1" si="109"/>
        <v>1.6134357034136571E-3</v>
      </c>
      <c r="E971" s="8">
        <f t="shared" ca="1" si="110"/>
        <v>1</v>
      </c>
      <c r="F971" s="8">
        <f t="shared" ca="1" si="111"/>
        <v>4</v>
      </c>
      <c r="G971" s="14">
        <f t="shared" ca="1" si="112"/>
        <v>0.98429778308368099</v>
      </c>
      <c r="H971" s="8">
        <f t="shared" ca="1" si="113"/>
        <v>20</v>
      </c>
    </row>
    <row r="972" spans="1:8">
      <c r="A972" s="8">
        <v>967</v>
      </c>
      <c r="B972" s="9">
        <f t="shared" ca="1" si="107"/>
        <v>0.46855236368868947</v>
      </c>
      <c r="C972" s="10" t="str">
        <f t="shared" ca="1" si="108"/>
        <v>Navegación</v>
      </c>
      <c r="D972" s="9">
        <f t="shared" ca="1" si="109"/>
        <v>0.88907863875779147</v>
      </c>
      <c r="E972" s="10">
        <f t="shared" ca="1" si="110"/>
        <v>5</v>
      </c>
      <c r="F972" s="10">
        <f t="shared" ca="1" si="111"/>
        <v>3</v>
      </c>
      <c r="G972" s="9">
        <f t="shared" ca="1" si="112"/>
        <v>6.4811715361061339E-2</v>
      </c>
      <c r="H972" s="10">
        <f t="shared" ca="1" si="113"/>
        <v>7</v>
      </c>
    </row>
    <row r="973" spans="1:8">
      <c r="A973" s="8">
        <v>968</v>
      </c>
      <c r="B973" s="14">
        <f t="shared" ca="1" si="107"/>
        <v>0.8545997939726413</v>
      </c>
      <c r="C973" s="8" t="str">
        <f t="shared" ca="1" si="108"/>
        <v>Checkout</v>
      </c>
      <c r="D973" s="14">
        <f t="shared" ca="1" si="109"/>
        <v>0.23675121229039764</v>
      </c>
      <c r="E973" s="8">
        <f t="shared" ca="1" si="110"/>
        <v>2</v>
      </c>
      <c r="F973" s="8">
        <f t="shared" ca="1" si="111"/>
        <v>4</v>
      </c>
      <c r="G973" s="14">
        <f t="shared" ca="1" si="112"/>
        <v>0.1556739053433791</v>
      </c>
      <c r="H973" s="8">
        <f t="shared" ca="1" si="113"/>
        <v>9</v>
      </c>
    </row>
    <row r="974" spans="1:8">
      <c r="A974" s="8">
        <v>969</v>
      </c>
      <c r="B974" s="9">
        <f t="shared" ca="1" si="107"/>
        <v>9.2044440159494312E-2</v>
      </c>
      <c r="C974" s="10" t="str">
        <f t="shared" ca="1" si="108"/>
        <v>Navegación</v>
      </c>
      <c r="D974" s="9">
        <f t="shared" ca="1" si="109"/>
        <v>6.5392550753125001E-2</v>
      </c>
      <c r="E974" s="10">
        <f t="shared" ca="1" si="110"/>
        <v>1</v>
      </c>
      <c r="F974" s="10">
        <f t="shared" ca="1" si="111"/>
        <v>1</v>
      </c>
      <c r="G974" s="9">
        <f t="shared" ca="1" si="112"/>
        <v>6.7713675004140828E-2</v>
      </c>
      <c r="H974" s="10">
        <f t="shared" ca="1" si="113"/>
        <v>7</v>
      </c>
    </row>
    <row r="975" spans="1:8">
      <c r="A975" s="8">
        <v>970</v>
      </c>
      <c r="B975" s="14">
        <f t="shared" ca="1" si="107"/>
        <v>0.54954402775793887</v>
      </c>
      <c r="C975" s="8" t="str">
        <f t="shared" ca="1" si="108"/>
        <v>Navegación</v>
      </c>
      <c r="D975" s="14">
        <f t="shared" ca="1" si="109"/>
        <v>0.8169222729884732</v>
      </c>
      <c r="E975" s="8">
        <f t="shared" ca="1" si="110"/>
        <v>5</v>
      </c>
      <c r="F975" s="8">
        <f t="shared" ca="1" si="111"/>
        <v>5</v>
      </c>
      <c r="G975" s="14">
        <f t="shared" ca="1" si="112"/>
        <v>0.63056186290011473</v>
      </c>
      <c r="H975" s="8">
        <f t="shared" ca="1" si="113"/>
        <v>13</v>
      </c>
    </row>
    <row r="976" spans="1:8">
      <c r="A976" s="8">
        <v>971</v>
      </c>
      <c r="B976" s="9">
        <f t="shared" ca="1" si="107"/>
        <v>0.51232674220600705</v>
      </c>
      <c r="C976" s="10" t="str">
        <f t="shared" ca="1" si="108"/>
        <v>Navegación</v>
      </c>
      <c r="D976" s="9">
        <f t="shared" ca="1" si="109"/>
        <v>0.90544032978730449</v>
      </c>
      <c r="E976" s="10">
        <f t="shared" ca="1" si="110"/>
        <v>5</v>
      </c>
      <c r="F976" s="10">
        <f t="shared" ca="1" si="111"/>
        <v>4</v>
      </c>
      <c r="G976" s="9">
        <f t="shared" ca="1" si="112"/>
        <v>0.76014429476018808</v>
      </c>
      <c r="H976" s="10">
        <f t="shared" ca="1" si="113"/>
        <v>14</v>
      </c>
    </row>
    <row r="977" spans="1:8">
      <c r="A977" s="8">
        <v>972</v>
      </c>
      <c r="B977" s="14">
        <f t="shared" ca="1" si="107"/>
        <v>0.18548320641565919</v>
      </c>
      <c r="C977" s="8" t="str">
        <f t="shared" ca="1" si="108"/>
        <v>Navegación</v>
      </c>
      <c r="D977" s="14">
        <f t="shared" ca="1" si="109"/>
        <v>0.37583595906362066</v>
      </c>
      <c r="E977" s="8">
        <f t="shared" ca="1" si="110"/>
        <v>2</v>
      </c>
      <c r="F977" s="8">
        <f t="shared" ca="1" si="111"/>
        <v>1</v>
      </c>
      <c r="G977" s="14">
        <f t="shared" ca="1" si="112"/>
        <v>0.19566979585109423</v>
      </c>
      <c r="H977" s="8">
        <f t="shared" ca="1" si="113"/>
        <v>9</v>
      </c>
    </row>
    <row r="978" spans="1:8">
      <c r="A978" s="8">
        <v>973</v>
      </c>
      <c r="B978" s="9">
        <f t="shared" ca="1" si="107"/>
        <v>3.3861265612781244E-3</v>
      </c>
      <c r="C978" s="10" t="str">
        <f t="shared" ca="1" si="108"/>
        <v>Navegación</v>
      </c>
      <c r="D978" s="9">
        <f t="shared" ca="1" si="109"/>
        <v>8.5588584660788669E-2</v>
      </c>
      <c r="E978" s="10">
        <f t="shared" ca="1" si="110"/>
        <v>1</v>
      </c>
      <c r="F978" s="10">
        <f t="shared" ca="1" si="111"/>
        <v>4</v>
      </c>
      <c r="G978" s="9">
        <f t="shared" ca="1" si="112"/>
        <v>0.91349663726290276</v>
      </c>
      <c r="H978" s="10">
        <f t="shared" ca="1" si="113"/>
        <v>17</v>
      </c>
    </row>
    <row r="979" spans="1:8">
      <c r="A979" s="8">
        <v>974</v>
      </c>
      <c r="B979" s="14">
        <f t="shared" ca="1" si="107"/>
        <v>8.2835211399066244E-2</v>
      </c>
      <c r="C979" s="8" t="str">
        <f t="shared" ca="1" si="108"/>
        <v>Navegación</v>
      </c>
      <c r="D979" s="14">
        <f t="shared" ca="1" si="109"/>
        <v>0.36266498072796016</v>
      </c>
      <c r="E979" s="8">
        <f t="shared" ca="1" si="110"/>
        <v>2</v>
      </c>
      <c r="F979" s="8">
        <f t="shared" ca="1" si="111"/>
        <v>2</v>
      </c>
      <c r="G979" s="14">
        <f t="shared" ca="1" si="112"/>
        <v>0.31520008114563647</v>
      </c>
      <c r="H979" s="8">
        <f t="shared" ca="1" si="113"/>
        <v>10</v>
      </c>
    </row>
    <row r="980" spans="1:8">
      <c r="A980" s="8">
        <v>975</v>
      </c>
      <c r="B980" s="9">
        <f t="shared" ca="1" si="107"/>
        <v>0.60435671951436465</v>
      </c>
      <c r="C980" s="10" t="str">
        <f t="shared" ca="1" si="108"/>
        <v>Carrito</v>
      </c>
      <c r="D980" s="9">
        <f t="shared" ca="1" si="109"/>
        <v>0.1571136341624908</v>
      </c>
      <c r="E980" s="10">
        <f t="shared" ca="1" si="110"/>
        <v>1</v>
      </c>
      <c r="F980" s="10">
        <f t="shared" ca="1" si="111"/>
        <v>3</v>
      </c>
      <c r="G980" s="9">
        <f t="shared" ca="1" si="112"/>
        <v>0.42710619257420401</v>
      </c>
      <c r="H980" s="10">
        <f t="shared" ca="1" si="113"/>
        <v>11</v>
      </c>
    </row>
    <row r="981" spans="1:8">
      <c r="A981" s="8">
        <v>976</v>
      </c>
      <c r="B981" s="14">
        <f t="shared" ca="1" si="107"/>
        <v>0.25239870753348759</v>
      </c>
      <c r="C981" s="8" t="str">
        <f t="shared" ca="1" si="108"/>
        <v>Navegación</v>
      </c>
      <c r="D981" s="14">
        <f t="shared" ca="1" si="109"/>
        <v>0.74753822508468371</v>
      </c>
      <c r="E981" s="8">
        <f t="shared" ca="1" si="110"/>
        <v>4</v>
      </c>
      <c r="F981" s="8">
        <f t="shared" ca="1" si="111"/>
        <v>4</v>
      </c>
      <c r="G981" s="14">
        <f t="shared" ca="1" si="112"/>
        <v>0.38447155199129768</v>
      </c>
      <c r="H981" s="8">
        <f t="shared" ca="1" si="113"/>
        <v>11</v>
      </c>
    </row>
    <row r="982" spans="1:8">
      <c r="A982" s="8">
        <v>977</v>
      </c>
      <c r="B982" s="9">
        <f t="shared" ca="1" si="107"/>
        <v>0.60844217810687884</v>
      </c>
      <c r="C982" s="10" t="str">
        <f t="shared" ca="1" si="108"/>
        <v>Carrito</v>
      </c>
      <c r="D982" s="9">
        <f t="shared" ca="1" si="109"/>
        <v>0.26702802846424845</v>
      </c>
      <c r="E982" s="10">
        <f t="shared" ca="1" si="110"/>
        <v>2</v>
      </c>
      <c r="F982" s="10">
        <f t="shared" ca="1" si="111"/>
        <v>4</v>
      </c>
      <c r="G982" s="9">
        <f t="shared" ca="1" si="112"/>
        <v>1.6764799069743597E-2</v>
      </c>
      <c r="H982" s="10">
        <f t="shared" ca="1" si="113"/>
        <v>5</v>
      </c>
    </row>
    <row r="983" spans="1:8">
      <c r="A983" s="8">
        <v>978</v>
      </c>
      <c r="B983" s="14">
        <f t="shared" ca="1" si="107"/>
        <v>0.57121943594827285</v>
      </c>
      <c r="C983" s="8" t="str">
        <f t="shared" ca="1" si="108"/>
        <v>Carrito</v>
      </c>
      <c r="D983" s="14">
        <f t="shared" ca="1" si="109"/>
        <v>0.72270510995226722</v>
      </c>
      <c r="E983" s="8">
        <f t="shared" ca="1" si="110"/>
        <v>4</v>
      </c>
      <c r="F983" s="8">
        <f t="shared" ca="1" si="111"/>
        <v>4</v>
      </c>
      <c r="G983" s="14">
        <f t="shared" ca="1" si="112"/>
        <v>0.18361520664448461</v>
      </c>
      <c r="H983" s="8">
        <f t="shared" ca="1" si="113"/>
        <v>9</v>
      </c>
    </row>
    <row r="984" spans="1:8">
      <c r="A984" s="8">
        <v>979</v>
      </c>
      <c r="B984" s="9">
        <f t="shared" ca="1" si="107"/>
        <v>0.69586800174233787</v>
      </c>
      <c r="C984" s="10" t="str">
        <f t="shared" ca="1" si="108"/>
        <v>Carrito</v>
      </c>
      <c r="D984" s="9">
        <f t="shared" ca="1" si="109"/>
        <v>0.4397241339398269</v>
      </c>
      <c r="E984" s="10">
        <f t="shared" ca="1" si="110"/>
        <v>3</v>
      </c>
      <c r="F984" s="10">
        <f t="shared" ca="1" si="111"/>
        <v>3</v>
      </c>
      <c r="G984" s="9">
        <f t="shared" ca="1" si="112"/>
        <v>0.42544034791955976</v>
      </c>
      <c r="H984" s="10">
        <f t="shared" ca="1" si="113"/>
        <v>11</v>
      </c>
    </row>
    <row r="985" spans="1:8">
      <c r="A985" s="8">
        <v>980</v>
      </c>
      <c r="B985" s="14">
        <f t="shared" ca="1" si="107"/>
        <v>0.59927588520468311</v>
      </c>
      <c r="C985" s="8" t="str">
        <f t="shared" ca="1" si="108"/>
        <v>Carrito</v>
      </c>
      <c r="D985" s="14">
        <f t="shared" ca="1" si="109"/>
        <v>0.14970368184006522</v>
      </c>
      <c r="E985" s="8">
        <f t="shared" ca="1" si="110"/>
        <v>1</v>
      </c>
      <c r="F985" s="8">
        <f t="shared" ca="1" si="111"/>
        <v>5</v>
      </c>
      <c r="G985" s="14">
        <f t="shared" ca="1" si="112"/>
        <v>0.9027372887766405</v>
      </c>
      <c r="H985" s="8">
        <f t="shared" ca="1" si="113"/>
        <v>17</v>
      </c>
    </row>
    <row r="986" spans="1:8">
      <c r="A986" s="8">
        <v>981</v>
      </c>
      <c r="B986" s="9">
        <f t="shared" ca="1" si="107"/>
        <v>0.19621542619080945</v>
      </c>
      <c r="C986" s="10" t="str">
        <f t="shared" ca="1" si="108"/>
        <v>Navegación</v>
      </c>
      <c r="D986" s="9">
        <f t="shared" ca="1" si="109"/>
        <v>0.87182320068432151</v>
      </c>
      <c r="E986" s="10">
        <f t="shared" ca="1" si="110"/>
        <v>5</v>
      </c>
      <c r="F986" s="10">
        <f t="shared" ca="1" si="111"/>
        <v>4</v>
      </c>
      <c r="G986" s="9">
        <f t="shared" ca="1" si="112"/>
        <v>2.820010849961907E-2</v>
      </c>
      <c r="H986" s="10">
        <f t="shared" ca="1" si="113"/>
        <v>6</v>
      </c>
    </row>
    <row r="987" spans="1:8">
      <c r="A987" s="8">
        <v>982</v>
      </c>
      <c r="B987" s="14">
        <f t="shared" ca="1" si="107"/>
        <v>0.5559590298128082</v>
      </c>
      <c r="C987" s="8" t="str">
        <f t="shared" ca="1" si="108"/>
        <v>Carrito</v>
      </c>
      <c r="D987" s="14">
        <f t="shared" ca="1" si="109"/>
        <v>5.7895743738418104E-2</v>
      </c>
      <c r="E987" s="8">
        <f t="shared" ca="1" si="110"/>
        <v>1</v>
      </c>
      <c r="F987" s="8">
        <f t="shared" ca="1" si="111"/>
        <v>3</v>
      </c>
      <c r="G987" s="14">
        <f t="shared" ca="1" si="112"/>
        <v>0.99540048043822782</v>
      </c>
      <c r="H987" s="8">
        <f t="shared" ca="1" si="113"/>
        <v>22</v>
      </c>
    </row>
    <row r="988" spans="1:8">
      <c r="A988" s="8">
        <v>983</v>
      </c>
      <c r="B988" s="9">
        <f t="shared" ca="1" si="107"/>
        <v>0.21365309686440859</v>
      </c>
      <c r="C988" s="10" t="str">
        <f t="shared" ca="1" si="108"/>
        <v>Navegación</v>
      </c>
      <c r="D988" s="9">
        <f t="shared" ca="1" si="109"/>
        <v>0.72649113730486614</v>
      </c>
      <c r="E988" s="10">
        <f t="shared" ca="1" si="110"/>
        <v>4</v>
      </c>
      <c r="F988" s="10">
        <f t="shared" ca="1" si="111"/>
        <v>2</v>
      </c>
      <c r="G988" s="9">
        <f t="shared" ca="1" si="112"/>
        <v>0.52680276531019199</v>
      </c>
      <c r="H988" s="10">
        <f t="shared" ca="1" si="113"/>
        <v>12</v>
      </c>
    </row>
    <row r="989" spans="1:8">
      <c r="A989" s="8">
        <v>984</v>
      </c>
      <c r="B989" s="14">
        <f t="shared" ca="1" si="107"/>
        <v>0.72243433306731919</v>
      </c>
      <c r="C989" s="8" t="str">
        <f t="shared" ca="1" si="108"/>
        <v>Carrito</v>
      </c>
      <c r="D989" s="14">
        <f t="shared" ca="1" si="109"/>
        <v>0.43503793854072759</v>
      </c>
      <c r="E989" s="8">
        <f t="shared" ca="1" si="110"/>
        <v>3</v>
      </c>
      <c r="F989" s="8">
        <f t="shared" ca="1" si="111"/>
        <v>1</v>
      </c>
      <c r="G989" s="14">
        <f t="shared" ca="1" si="112"/>
        <v>0.59048538771840453</v>
      </c>
      <c r="H989" s="8">
        <f t="shared" ca="1" si="113"/>
        <v>13</v>
      </c>
    </row>
    <row r="990" spans="1:8">
      <c r="A990" s="8">
        <v>985</v>
      </c>
      <c r="B990" s="9">
        <f t="shared" ca="1" si="107"/>
        <v>0.80626770084508115</v>
      </c>
      <c r="C990" s="10" t="str">
        <f t="shared" ca="1" si="108"/>
        <v>Carrito</v>
      </c>
      <c r="D990" s="9">
        <f t="shared" ca="1" si="109"/>
        <v>0.59448834504935888</v>
      </c>
      <c r="E990" s="10">
        <f t="shared" ca="1" si="110"/>
        <v>3</v>
      </c>
      <c r="F990" s="10">
        <f t="shared" ca="1" si="111"/>
        <v>3</v>
      </c>
      <c r="G990" s="9">
        <f t="shared" ca="1" si="112"/>
        <v>0.61270431885998089</v>
      </c>
      <c r="H990" s="10">
        <f t="shared" ca="1" si="113"/>
        <v>13</v>
      </c>
    </row>
    <row r="991" spans="1:8">
      <c r="A991" s="8">
        <v>986</v>
      </c>
      <c r="B991" s="14">
        <f t="shared" ca="1" si="107"/>
        <v>1.4449090084043825E-2</v>
      </c>
      <c r="C991" s="8" t="str">
        <f t="shared" ca="1" si="108"/>
        <v>Navegación</v>
      </c>
      <c r="D991" s="14">
        <f t="shared" ca="1" si="109"/>
        <v>0.50474425939325074</v>
      </c>
      <c r="E991" s="8">
        <f t="shared" ca="1" si="110"/>
        <v>3</v>
      </c>
      <c r="F991" s="8">
        <f t="shared" ca="1" si="111"/>
        <v>1</v>
      </c>
      <c r="G991" s="14">
        <f t="shared" ca="1" si="112"/>
        <v>0.24105821043710529</v>
      </c>
      <c r="H991" s="8">
        <f t="shared" ca="1" si="113"/>
        <v>9</v>
      </c>
    </row>
    <row r="992" spans="1:8">
      <c r="A992" s="8">
        <v>987</v>
      </c>
      <c r="B992" s="9">
        <f t="shared" ca="1" si="107"/>
        <v>0.22318859773866229</v>
      </c>
      <c r="C992" s="10" t="str">
        <f t="shared" ca="1" si="108"/>
        <v>Navegación</v>
      </c>
      <c r="D992" s="9">
        <f t="shared" ca="1" si="109"/>
        <v>0.6066010291897912</v>
      </c>
      <c r="E992" s="10">
        <f t="shared" ca="1" si="110"/>
        <v>4</v>
      </c>
      <c r="F992" s="10">
        <f t="shared" ca="1" si="111"/>
        <v>2</v>
      </c>
      <c r="G992" s="9">
        <f t="shared" ca="1" si="112"/>
        <v>0.94015147524724241</v>
      </c>
      <c r="H992" s="10">
        <f t="shared" ca="1" si="113"/>
        <v>18</v>
      </c>
    </row>
    <row r="993" spans="1:8">
      <c r="A993" s="8">
        <v>988</v>
      </c>
      <c r="B993" s="14">
        <f t="shared" ca="1" si="107"/>
        <v>0.36021105194574421</v>
      </c>
      <c r="C993" s="8" t="str">
        <f t="shared" ca="1" si="108"/>
        <v>Navegación</v>
      </c>
      <c r="D993" s="14">
        <f t="shared" ca="1" si="109"/>
        <v>0.32437117335044363</v>
      </c>
      <c r="E993" s="8">
        <f t="shared" ca="1" si="110"/>
        <v>2</v>
      </c>
      <c r="F993" s="8">
        <f t="shared" ca="1" si="111"/>
        <v>3</v>
      </c>
      <c r="G993" s="14">
        <f t="shared" ca="1" si="112"/>
        <v>0.94912011613091385</v>
      </c>
      <c r="H993" s="8">
        <f t="shared" ca="1" si="113"/>
        <v>18</v>
      </c>
    </row>
    <row r="994" spans="1:8">
      <c r="A994" s="8">
        <v>989</v>
      </c>
      <c r="B994" s="9">
        <f t="shared" ca="1" si="107"/>
        <v>0.19106163962413536</v>
      </c>
      <c r="C994" s="10" t="str">
        <f t="shared" ca="1" si="108"/>
        <v>Navegación</v>
      </c>
      <c r="D994" s="9">
        <f t="shared" ca="1" si="109"/>
        <v>3.9026826135053483E-2</v>
      </c>
      <c r="E994" s="10">
        <f t="shared" ca="1" si="110"/>
        <v>1</v>
      </c>
      <c r="F994" s="10">
        <f t="shared" ca="1" si="111"/>
        <v>3</v>
      </c>
      <c r="G994" s="9">
        <f t="shared" ca="1" si="112"/>
        <v>0.66362917148630429</v>
      </c>
      <c r="H994" s="10">
        <f t="shared" ca="1" si="113"/>
        <v>13</v>
      </c>
    </row>
    <row r="995" spans="1:8">
      <c r="A995" s="8">
        <v>990</v>
      </c>
      <c r="B995" s="14">
        <f t="shared" ca="1" si="107"/>
        <v>0.78043613508035148</v>
      </c>
      <c r="C995" s="8" t="str">
        <f t="shared" ca="1" si="108"/>
        <v>Carrito</v>
      </c>
      <c r="D995" s="14">
        <f t="shared" ca="1" si="109"/>
        <v>0.45099470883919413</v>
      </c>
      <c r="E995" s="8">
        <f t="shared" ca="1" si="110"/>
        <v>3</v>
      </c>
      <c r="F995" s="8">
        <f t="shared" ca="1" si="111"/>
        <v>1</v>
      </c>
      <c r="G995" s="14">
        <f t="shared" ca="1" si="112"/>
        <v>0.87494284167943026</v>
      </c>
      <c r="H995" s="8">
        <f t="shared" ca="1" si="113"/>
        <v>16</v>
      </c>
    </row>
    <row r="996" spans="1:8">
      <c r="A996" s="8">
        <v>991</v>
      </c>
      <c r="B996" s="9">
        <f t="shared" ca="1" si="107"/>
        <v>0.76900985813585199</v>
      </c>
      <c r="C996" s="10" t="str">
        <f t="shared" ca="1" si="108"/>
        <v>Carrito</v>
      </c>
      <c r="D996" s="9">
        <f t="shared" ca="1" si="109"/>
        <v>3.2847914486631491E-2</v>
      </c>
      <c r="E996" s="10">
        <f t="shared" ca="1" si="110"/>
        <v>1</v>
      </c>
      <c r="F996" s="10">
        <f t="shared" ca="1" si="111"/>
        <v>1</v>
      </c>
      <c r="G996" s="9">
        <f t="shared" ca="1" si="112"/>
        <v>0.27473474844225665</v>
      </c>
      <c r="H996" s="10">
        <f t="shared" ca="1" si="113"/>
        <v>10</v>
      </c>
    </row>
    <row r="997" spans="1:8">
      <c r="A997" s="8">
        <v>992</v>
      </c>
      <c r="B997" s="14">
        <f t="shared" ca="1" si="107"/>
        <v>0.55616825133943359</v>
      </c>
      <c r="C997" s="8" t="str">
        <f t="shared" ca="1" si="108"/>
        <v>Carrito</v>
      </c>
      <c r="D997" s="14">
        <f t="shared" ca="1" si="109"/>
        <v>0.36810612541358467</v>
      </c>
      <c r="E997" s="8">
        <f t="shared" ca="1" si="110"/>
        <v>2</v>
      </c>
      <c r="F997" s="8">
        <f t="shared" ca="1" si="111"/>
        <v>1</v>
      </c>
      <c r="G997" s="14">
        <f t="shared" ca="1" si="112"/>
        <v>0.63602740439686589</v>
      </c>
      <c r="H997" s="8">
        <f t="shared" ca="1" si="113"/>
        <v>13</v>
      </c>
    </row>
    <row r="998" spans="1:8">
      <c r="A998" s="8">
        <v>993</v>
      </c>
      <c r="B998" s="9">
        <f t="shared" ca="1" si="107"/>
        <v>0.48643315547133092</v>
      </c>
      <c r="C998" s="10" t="str">
        <f t="shared" ca="1" si="108"/>
        <v>Navegación</v>
      </c>
      <c r="D998" s="9">
        <f t="shared" ca="1" si="109"/>
        <v>0.82563897347567461</v>
      </c>
      <c r="E998" s="10">
        <f t="shared" ca="1" si="110"/>
        <v>5</v>
      </c>
      <c r="F998" s="10">
        <f t="shared" ca="1" si="111"/>
        <v>5</v>
      </c>
      <c r="G998" s="9">
        <f t="shared" ca="1" si="112"/>
        <v>0.26491930012081322</v>
      </c>
      <c r="H998" s="10">
        <f t="shared" ca="1" si="113"/>
        <v>10</v>
      </c>
    </row>
    <row r="999" spans="1:8">
      <c r="A999" s="8">
        <v>994</v>
      </c>
      <c r="B999" s="14">
        <f t="shared" ca="1" si="107"/>
        <v>0.76078021896160908</v>
      </c>
      <c r="C999" s="8" t="str">
        <f t="shared" ca="1" si="108"/>
        <v>Carrito</v>
      </c>
      <c r="D999" s="14">
        <f t="shared" ca="1" si="109"/>
        <v>0.25956601359535714</v>
      </c>
      <c r="E999" s="8">
        <f t="shared" ca="1" si="110"/>
        <v>2</v>
      </c>
      <c r="F999" s="8">
        <f t="shared" ca="1" si="111"/>
        <v>3</v>
      </c>
      <c r="G999" s="14">
        <f t="shared" ca="1" si="112"/>
        <v>1.6749257890286362E-2</v>
      </c>
      <c r="H999" s="8">
        <f t="shared" ca="1" si="113"/>
        <v>5</v>
      </c>
    </row>
    <row r="1000" spans="1:8">
      <c r="A1000" s="8">
        <v>995</v>
      </c>
      <c r="B1000" s="9">
        <f t="shared" ca="1" si="107"/>
        <v>0.31505801905341146</v>
      </c>
      <c r="C1000" s="10" t="str">
        <f t="shared" ca="1" si="108"/>
        <v>Navegación</v>
      </c>
      <c r="D1000" s="9">
        <f t="shared" ca="1" si="109"/>
        <v>0.92060781711899342</v>
      </c>
      <c r="E1000" s="10">
        <f t="shared" ca="1" si="110"/>
        <v>5</v>
      </c>
      <c r="F1000" s="10">
        <f t="shared" ca="1" si="111"/>
        <v>3</v>
      </c>
      <c r="G1000" s="9">
        <f t="shared" ca="1" si="112"/>
        <v>0.32234045176745907</v>
      </c>
      <c r="H1000" s="10">
        <f t="shared" ca="1" si="113"/>
        <v>10</v>
      </c>
    </row>
    <row r="1001" spans="1:8">
      <c r="A1001" s="8">
        <v>996</v>
      </c>
      <c r="B1001" s="14">
        <f t="shared" ca="1" si="107"/>
        <v>0.61926216683084789</v>
      </c>
      <c r="C1001" s="8" t="str">
        <f t="shared" ca="1" si="108"/>
        <v>Carrito</v>
      </c>
      <c r="D1001" s="14">
        <f t="shared" ca="1" si="109"/>
        <v>0.24248437978562543</v>
      </c>
      <c r="E1001" s="8">
        <f t="shared" ca="1" si="110"/>
        <v>2</v>
      </c>
      <c r="F1001" s="8">
        <f t="shared" ca="1" si="111"/>
        <v>3</v>
      </c>
      <c r="G1001" s="14">
        <f t="shared" ca="1" si="112"/>
        <v>0.31020697074947556</v>
      </c>
      <c r="H1001" s="8">
        <f t="shared" ca="1" si="113"/>
        <v>10</v>
      </c>
    </row>
    <row r="1002" spans="1:8">
      <c r="A1002" s="8">
        <v>997</v>
      </c>
      <c r="B1002" s="9">
        <f t="shared" ca="1" si="107"/>
        <v>0.59059700823464334</v>
      </c>
      <c r="C1002" s="10" t="str">
        <f t="shared" ca="1" si="108"/>
        <v>Carrito</v>
      </c>
      <c r="D1002" s="9">
        <f t="shared" ca="1" si="109"/>
        <v>9.2196796398899883E-2</v>
      </c>
      <c r="E1002" s="10">
        <f t="shared" ca="1" si="110"/>
        <v>1</v>
      </c>
      <c r="F1002" s="10">
        <f t="shared" ca="1" si="111"/>
        <v>3</v>
      </c>
      <c r="G1002" s="9">
        <f t="shared" ca="1" si="112"/>
        <v>0.39023754947298062</v>
      </c>
      <c r="H1002" s="10">
        <f t="shared" ca="1" si="113"/>
        <v>11</v>
      </c>
    </row>
    <row r="1003" spans="1:8">
      <c r="A1003" s="8">
        <v>998</v>
      </c>
      <c r="B1003" s="14">
        <f t="shared" ca="1" si="107"/>
        <v>0.60397012613796297</v>
      </c>
      <c r="C1003" s="8" t="str">
        <f t="shared" ca="1" si="108"/>
        <v>Carrito</v>
      </c>
      <c r="D1003" s="14">
        <f t="shared" ca="1" si="109"/>
        <v>0.99941601235140498</v>
      </c>
      <c r="E1003" s="8">
        <f t="shared" ca="1" si="110"/>
        <v>5</v>
      </c>
      <c r="F1003" s="8">
        <f t="shared" ca="1" si="111"/>
        <v>3</v>
      </c>
      <c r="G1003" s="14">
        <f t="shared" ca="1" si="112"/>
        <v>0.72809299473468891</v>
      </c>
      <c r="H1003" s="8">
        <f t="shared" ca="1" si="113"/>
        <v>14</v>
      </c>
    </row>
    <row r="1004" spans="1:8">
      <c r="A1004" s="8">
        <v>999</v>
      </c>
      <c r="B1004" s="9">
        <f t="shared" ca="1" si="107"/>
        <v>1.5689835938552998E-2</v>
      </c>
      <c r="C1004" s="10" t="str">
        <f t="shared" ca="1" si="108"/>
        <v>Navegación</v>
      </c>
      <c r="D1004" s="9">
        <f t="shared" ca="1" si="109"/>
        <v>0.51523605730395372</v>
      </c>
      <c r="E1004" s="10">
        <f t="shared" ca="1" si="110"/>
        <v>3</v>
      </c>
      <c r="F1004" s="10">
        <f t="shared" ca="1" si="111"/>
        <v>3</v>
      </c>
      <c r="G1004" s="9">
        <f t="shared" ca="1" si="112"/>
        <v>4.3239781256430132E-2</v>
      </c>
      <c r="H1004" s="10">
        <f t="shared" ca="1" si="113"/>
        <v>6</v>
      </c>
    </row>
    <row r="1005" spans="1:8">
      <c r="A1005" s="8">
        <v>1000</v>
      </c>
      <c r="B1005" s="14">
        <f t="shared" ca="1" si="107"/>
        <v>0.47139377888357281</v>
      </c>
      <c r="C1005" s="8" t="str">
        <f t="shared" ca="1" si="108"/>
        <v>Navegación</v>
      </c>
      <c r="D1005" s="14">
        <f t="shared" ca="1" si="109"/>
        <v>0.17206380787198139</v>
      </c>
      <c r="E1005" s="8">
        <f t="shared" ca="1" si="110"/>
        <v>1</v>
      </c>
      <c r="F1005" s="8">
        <f t="shared" ca="1" si="111"/>
        <v>1</v>
      </c>
      <c r="G1005" s="14">
        <f t="shared" ca="1" si="112"/>
        <v>0.28609394405333377</v>
      </c>
      <c r="H1005" s="8">
        <f t="shared" ca="1" si="113"/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OmniMarket_Validado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LAPTOP-3</cp:lastModifiedBy>
  <dcterms:created xsi:type="dcterms:W3CDTF">2026-07-17T01:58:28Z</dcterms:created>
  <dcterms:modified xsi:type="dcterms:W3CDTF">2026-07-17T03:01:20Z</dcterms:modified>
</cp:coreProperties>
</file>